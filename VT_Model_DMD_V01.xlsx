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https://aghedupl.sharepoint.com/sites/IPoY45/Shared Documents/CFE/Models/CFE_NL_IND_8760/"/>
    </mc:Choice>
  </mc:AlternateContent>
  <xr:revisionPtr revIDLastSave="7" documentId="13_ncr:1_{103FB226-9C5E-4924-B892-41011D882CCB}" xr6:coauthVersionLast="47" xr6:coauthVersionMax="47" xr10:uidLastSave="{FAD4C506-090E-4D83-872C-A01B7DBC52B6}"/>
  <bookViews>
    <workbookView xWindow="-108" yWindow="-108" windowWidth="23256" windowHeight="12576" tabRatio="901" activeTab="3" xr2:uid="{00000000-000D-0000-FFFF-FFFF00000000}"/>
  </bookViews>
  <sheets>
    <sheet name="SEC_Comm" sheetId="112" r:id="rId1"/>
    <sheet name="SEC_Processes" sheetId="140" r:id="rId2"/>
    <sheet name="DEMAND" sheetId="128" r:id="rId3"/>
    <sheet name="FINAL_DEMAD_PRC" sheetId="139" r:id="rId4"/>
  </sheets>
  <externalReferences>
    <externalReference r:id="rId5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28" l="1"/>
  <c r="E8" i="128"/>
  <c r="F8" i="128"/>
  <c r="G8" i="128"/>
  <c r="H8" i="128"/>
  <c r="I8" i="128"/>
  <c r="D9" i="128"/>
  <c r="E9" i="128"/>
  <c r="F9" i="128"/>
  <c r="G9" i="128"/>
  <c r="H9" i="128"/>
  <c r="I9" i="128"/>
  <c r="C9" i="128"/>
  <c r="C8" i="128"/>
  <c r="B9" i="128"/>
  <c r="E12" i="139"/>
  <c r="D11" i="139"/>
  <c r="B10" i="139" l="1"/>
  <c r="E9" i="139"/>
  <c r="D8" i="139"/>
  <c r="D7" i="139"/>
  <c r="B7" i="139"/>
  <c r="I13" i="128"/>
  <c r="H13" i="128"/>
  <c r="F13" i="128"/>
  <c r="D13" i="128"/>
  <c r="C7" i="1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F4B53DF6-885F-4626-ACE2-D1AC452333C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<sst xmlns="http://schemas.openxmlformats.org/spreadsheetml/2006/main" count="100" uniqueCount="79">
  <si>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</si>
  <si>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</si>
  <si>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</si>
  <si>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</si>
  <si>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</si>
  <si>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</si>
  <si>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</si>
  <si>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</si>
  <si>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</si>
  <si>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</si>
  <si>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</si>
  <si>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</si>
  <si>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</si>
  <si>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</si>
  <si>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</si>
  <si>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</si>
  <si>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</si>
  <si>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</si>
  <si>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ELC_GRID_RES</t>
  </si>
  <si>
    <t xml:space="preserve">Electricity grid RES </t>
  </si>
  <si>
    <t>PJ</t>
  </si>
  <si>
    <t>DAYNITE</t>
  </si>
  <si>
    <t>ELC_GRID</t>
  </si>
  <si>
    <t xml:space="preserve">Electricity grid non-RES </t>
  </si>
  <si>
    <t>DEM</t>
  </si>
  <si>
    <t>ELC_FIN</t>
  </si>
  <si>
    <t>Electricity - Final Energy</t>
  </si>
  <si>
    <t>ELC_IND_FIN</t>
  </si>
  <si>
    <t>Electricity - Industry Final Energy</t>
  </si>
  <si>
    <t>FX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</si>
  <si>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</si>
  <si>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</si>
  <si>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</si>
  <si>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</si>
  <si>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</si>
  <si>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</si>
  <si>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</si>
  <si>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</si>
  <si>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</si>
  <si>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</si>
  <si>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</si>
  <si>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</si>
  <si>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</si>
  <si>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</si>
  <si>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</si>
  <si>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</si>
  <si>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</si>
  <si>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</si>
  <si>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</si>
  <si>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DMD</t>
  </si>
  <si>
    <t>NL</t>
  </si>
  <si>
    <t>ELC_FIN_DEM</t>
  </si>
  <si>
    <t>Electricity - Final Energy Demand</t>
  </si>
  <si>
    <t>PJa</t>
  </si>
  <si>
    <t>ELC_IND_FIN_DEM</t>
  </si>
  <si>
    <t>Electricity - Industry Final Energy Demand</t>
  </si>
  <si>
    <t>Final Energy Consumption Technologies</t>
  </si>
  <si>
    <t>~FI_T</t>
  </si>
  <si>
    <t>*TechDesc</t>
  </si>
  <si>
    <t>Comm-IN</t>
  </si>
  <si>
    <t>Comm-OUT</t>
  </si>
  <si>
    <t>EFF</t>
  </si>
  <si>
    <t>CAP2ACT</t>
  </si>
  <si>
    <t>\I: Technology Name</t>
  </si>
  <si>
    <t>Commodity Input</t>
  </si>
  <si>
    <t>Commodity Output</t>
  </si>
  <si>
    <t>Efficiency</t>
  </si>
  <si>
    <t>Capacity to Activity Factor</t>
  </si>
  <si>
    <t>ELC_IND_RES_SUM</t>
  </si>
  <si>
    <t>Demand</t>
  </si>
  <si>
    <t>~FI_T:DEMAND</t>
  </si>
  <si>
    <t>\I: Commodity Name</t>
  </si>
  <si>
    <t>Annual Demand Value [PJ]</t>
  </si>
  <si>
    <t>Source:</t>
  </si>
  <si>
    <t>Visualisation Platform | ENTSOs TYNDP 2024 Scenarios</t>
  </si>
  <si>
    <t>Supportive calculations below:</t>
  </si>
  <si>
    <t>TWh</t>
  </si>
  <si>
    <t>Legend:</t>
  </si>
  <si>
    <t xml:space="preserve"> ENTSO data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</si>
</sst>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_(* #,##0.00_);_(* \(#,##0.00\);_(* &quot;-&quot;??_);_(@_)"/>
    <numFmt numFmtId="166" formatCode="&quot;$&quot;#,##0.00_);[Red]\(&quot;$&quot;#,##0.00\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[$€]* #,##0.00_);_([$€]* \(#,##0.00\);_([$€]* &quot;-&quot;??_);_(@_)"/>
    <numFmt numFmtId="170" formatCode="_-* #,##0.00\ _€_-;\-* #,##0.00\ _€_-;_-* &quot;-&quot;??\ _€_-;_-@_-"/>
    <numFmt numFmtId="171" formatCode="_-* #,##0.00\ _D_M_-;\-* #,##0.00\ _D_M_-;_-* &quot;-&quot;??\ _D_M_-;_-@_-"/>
    <numFmt numFmtId="172" formatCode="_-* #,##0.00\ [$€]_-;\-* #,##0.00\ [$€]_-;_-* &quot;-&quot;??\ [$€]_-;_-@_-"/>
    <numFmt numFmtId="173" formatCode="_([$€-2]* #,##0.00_);_([$€-2]* \(#,##0.00\);_([$€-2]* &quot;-&quot;??_)"/>
    <numFmt numFmtId="174" formatCode="#,##0.00\ &quot;DM&quot;;[Red]\-#,##0.00\ &quot;DM&quot;"/>
    <numFmt numFmtId="175" formatCode="#,##0.00\ &quot;Pts&quot;;[Red]\-#,##0.00\ &quot;Pts&quot;"/>
    <numFmt numFmtId="176" formatCode="#,##0."/>
    <numFmt numFmtId="177" formatCode="&quot;$&quot;#."/>
    <numFmt numFmtId="178" formatCode="m/d/yy\ h:mm"/>
    <numFmt numFmtId="179" formatCode="#.00"/>
    <numFmt numFmtId="180" formatCode="mmm\ dd\,\ yyyy"/>
    <numFmt numFmtId="181" formatCode="mmm\-yyyy"/>
    <numFmt numFmtId="182" formatCode="yyyy"/>
    <numFmt numFmtId="183" formatCode="_-* ###0.00_-;\(###0.00\);_-* &quot;–&quot;_-;_-@_-"/>
    <numFmt numFmtId="184" formatCode="\Te\x\t"/>
    <numFmt numFmtId="185" formatCode="0.0"/>
  </numFmts>
  <fonts count="112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u/>
      <sz val="10"/>
      <color theme="10"/>
      <name val="Arial"/>
      <family val="2"/>
      <charset val="238"/>
    </font>
    <font>
      <b/>
      <sz val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63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12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12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56" fillId="4" borderId="0" applyNumberFormat="0" applyBorder="0" applyAlignment="0" applyProtection="0"/>
    <xf numFmtId="0" fontId="56" fillId="4" borderId="0" applyNumberFormat="0" applyBorder="0" applyAlignment="0" applyProtection="0"/>
    <xf numFmtId="0" fontId="12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56" fillId="4" borderId="0" applyNumberFormat="0" applyBorder="0" applyAlignment="0" applyProtection="0"/>
    <xf numFmtId="0" fontId="56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6" fillId="5" borderId="0" applyNumberFormat="0" applyBorder="0" applyAlignment="0" applyProtection="0"/>
    <xf numFmtId="0" fontId="56" fillId="5" borderId="0" applyNumberFormat="0" applyBorder="0" applyAlignment="0" applyProtection="0"/>
    <xf numFmtId="0" fontId="12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6" fillId="5" borderId="0" applyNumberFormat="0" applyBorder="0" applyAlignment="0" applyProtection="0"/>
    <xf numFmtId="0" fontId="56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56" fillId="6" borderId="0" applyNumberFormat="0" applyBorder="0" applyAlignment="0" applyProtection="0"/>
    <xf numFmtId="0" fontId="56" fillId="6" borderId="0" applyNumberFormat="0" applyBorder="0" applyAlignment="0" applyProtection="0"/>
    <xf numFmtId="0" fontId="12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56" fillId="6" borderId="0" applyNumberFormat="0" applyBorder="0" applyAlignment="0" applyProtection="0"/>
    <xf numFmtId="0" fontId="56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56" fillId="7" borderId="0" applyNumberFormat="0" applyBorder="0" applyAlignment="0" applyProtection="0"/>
    <xf numFmtId="0" fontId="56" fillId="7" borderId="0" applyNumberFormat="0" applyBorder="0" applyAlignment="0" applyProtection="0"/>
    <xf numFmtId="0" fontId="12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56" fillId="7" borderId="0" applyNumberFormat="0" applyBorder="0" applyAlignment="0" applyProtection="0"/>
    <xf numFmtId="0" fontId="56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6" fillId="8" borderId="0" applyNumberFormat="0" applyBorder="0" applyAlignment="0" applyProtection="0"/>
    <xf numFmtId="0" fontId="56" fillId="8" borderId="0" applyNumberFormat="0" applyBorder="0" applyAlignment="0" applyProtection="0"/>
    <xf numFmtId="0" fontId="12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6" fillId="8" borderId="0" applyNumberFormat="0" applyBorder="0" applyAlignment="0" applyProtection="0"/>
    <xf numFmtId="0" fontId="56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56" fillId="9" borderId="0" applyNumberFormat="0" applyBorder="0" applyAlignment="0" applyProtection="0"/>
    <xf numFmtId="0" fontId="56" fillId="9" borderId="0" applyNumberFormat="0" applyBorder="0" applyAlignment="0" applyProtection="0"/>
    <xf numFmtId="0" fontId="12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56" fillId="9" borderId="0" applyNumberFormat="0" applyBorder="0" applyAlignment="0" applyProtection="0"/>
    <xf numFmtId="0" fontId="56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56" fillId="10" borderId="0" applyNumberFormat="0" applyBorder="0" applyAlignment="0" applyProtection="0"/>
    <xf numFmtId="0" fontId="56" fillId="10" borderId="0" applyNumberFormat="0" applyBorder="0" applyAlignment="0" applyProtection="0"/>
    <xf numFmtId="0" fontId="12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56" fillId="10" borderId="0" applyNumberFormat="0" applyBorder="0" applyAlignment="0" applyProtection="0"/>
    <xf numFmtId="0" fontId="56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6" fillId="5" borderId="0" applyNumberFormat="0" applyBorder="0" applyAlignment="0" applyProtection="0"/>
    <xf numFmtId="0" fontId="56" fillId="5" borderId="0" applyNumberFormat="0" applyBorder="0" applyAlignment="0" applyProtection="0"/>
    <xf numFmtId="0" fontId="12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6" fillId="5" borderId="0" applyNumberFormat="0" applyBorder="0" applyAlignment="0" applyProtection="0"/>
    <xf numFmtId="0" fontId="56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6" fillId="8" borderId="0" applyNumberFormat="0" applyBorder="0" applyAlignment="0" applyProtection="0"/>
    <xf numFmtId="0" fontId="56" fillId="8" borderId="0" applyNumberFormat="0" applyBorder="0" applyAlignment="0" applyProtection="0"/>
    <xf numFmtId="0" fontId="12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6" fillId="8" borderId="0" applyNumberFormat="0" applyBorder="0" applyAlignment="0" applyProtection="0"/>
    <xf numFmtId="0" fontId="56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12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13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57" fillId="9" borderId="0" applyNumberFormat="0" applyBorder="0" applyAlignment="0" applyProtection="0"/>
    <xf numFmtId="0" fontId="57" fillId="9" borderId="0" applyNumberFormat="0" applyBorder="0" applyAlignment="0" applyProtection="0"/>
    <xf numFmtId="0" fontId="13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57" fillId="9" borderId="0" applyNumberFormat="0" applyBorder="0" applyAlignment="0" applyProtection="0"/>
    <xf numFmtId="0" fontId="57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13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13" fillId="13" borderId="0" applyNumberFormat="0" applyBorder="0" applyAlignment="0" applyProtection="0"/>
    <xf numFmtId="0" fontId="100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13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13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175" fontId="5" fillId="20" borderId="1">
      <alignment horizontal="center" vertical="center"/>
    </xf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13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57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13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57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13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57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13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7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13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7" fillId="14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13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57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25" fillId="21" borderId="2" applyNumberFormat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33" fillId="0" borderId="0" applyNumberFormat="0" applyFill="0" applyBorder="0" applyAlignment="0" applyProtection="0"/>
    <xf numFmtId="176" fontId="80" fillId="0" borderId="0">
      <protection locked="0"/>
    </xf>
    <xf numFmtId="0" fontId="81" fillId="0" borderId="0"/>
    <xf numFmtId="0" fontId="82" fillId="0" borderId="0"/>
    <xf numFmtId="176" fontId="80" fillId="0" borderId="0">
      <protection locked="0"/>
    </xf>
    <xf numFmtId="177" fontId="80" fillId="0" borderId="0">
      <protection locked="0"/>
    </xf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58" fillId="7" borderId="3" applyNumberFormat="0" applyAlignment="0" applyProtection="0"/>
    <xf numFmtId="0" fontId="58" fillId="7" borderId="3" applyNumberFormat="0" applyAlignment="0" applyProtection="0"/>
    <xf numFmtId="0" fontId="22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58" fillId="7" borderId="3" applyNumberFormat="0" applyAlignment="0" applyProtection="0"/>
    <xf numFmtId="0" fontId="58" fillId="7" borderId="3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59" fillId="21" borderId="2" applyNumberFormat="0" applyAlignment="0" applyProtection="0"/>
    <xf numFmtId="0" fontId="59" fillId="21" borderId="2" applyNumberFormat="0" applyAlignment="0" applyProtection="0"/>
    <xf numFmtId="0" fontId="2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59" fillId="21" borderId="2" applyNumberFormat="0" applyAlignment="0" applyProtection="0"/>
    <xf numFmtId="0" fontId="59" fillId="21" borderId="2" applyNumberFormat="0" applyAlignment="0" applyProtection="0"/>
    <xf numFmtId="0" fontId="80" fillId="0" borderId="0">
      <protection locked="0"/>
    </xf>
    <xf numFmtId="178" fontId="5" fillId="0" borderId="0" applyFont="0" applyFill="0" applyBorder="0" applyAlignment="0" applyProtection="0">
      <alignment wrapText="1"/>
    </xf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60" fillId="4" borderId="0" applyNumberFormat="0" applyBorder="0" applyAlignment="0" applyProtection="0"/>
    <xf numFmtId="0" fontId="60" fillId="4" borderId="0" applyNumberFormat="0" applyBorder="0" applyAlignment="0" applyProtection="0"/>
    <xf numFmtId="0" fontId="18" fillId="4" borderId="0" applyNumberFormat="0" applyBorder="0" applyAlignment="0" applyProtection="0"/>
    <xf numFmtId="0" fontId="101" fillId="41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60" fillId="4" borderId="0" applyNumberFormat="0" applyBorder="0" applyAlignment="0" applyProtection="0"/>
    <xf numFmtId="0" fontId="60" fillId="4" borderId="0" applyNumberFormat="0" applyBorder="0" applyAlignment="0" applyProtection="0"/>
    <xf numFmtId="0" fontId="22" fillId="7" borderId="3" applyNumberFormat="0" applyAlignment="0" applyProtection="0"/>
    <xf numFmtId="0" fontId="27" fillId="0" borderId="5" applyNumberFormat="0" applyFill="0" applyAlignment="0" applyProtection="0"/>
    <xf numFmtId="0" fontId="17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79" fontId="80" fillId="0" borderId="0">
      <protection locked="0"/>
    </xf>
    <xf numFmtId="0" fontId="83" fillId="0" borderId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38" fontId="6" fillId="23" borderId="0" applyNumberFormat="0" applyBorder="0" applyAlignment="0" applyProtection="0"/>
    <xf numFmtId="0" fontId="18" fillId="4" borderId="0" applyNumberFormat="0" applyBorder="0" applyAlignment="0" applyProtection="0"/>
    <xf numFmtId="0" fontId="84" fillId="0" borderId="0" applyNumberFormat="0" applyFill="0" applyBorder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19" fillId="0" borderId="6" applyNumberFormat="0" applyFill="0" applyAlignment="0" applyProtection="0"/>
    <xf numFmtId="0" fontId="85" fillId="0" borderId="0">
      <protection locked="0"/>
    </xf>
    <xf numFmtId="0" fontId="19" fillId="0" borderId="6" applyNumberFormat="0" applyFill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20" fillId="0" borderId="7" applyNumberFormat="0" applyFill="0" applyAlignment="0" applyProtection="0"/>
    <xf numFmtId="0" fontId="85" fillId="0" borderId="0">
      <protection locked="0"/>
    </xf>
    <xf numFmtId="0" fontId="20" fillId="0" borderId="7" applyNumberFormat="0" applyFill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85" fillId="0" borderId="0">
      <protection locked="0"/>
    </xf>
    <xf numFmtId="0" fontId="85" fillId="0" borderId="0">
      <protection locked="0"/>
    </xf>
    <xf numFmtId="0" fontId="72" fillId="0" borderId="0" applyNumberFormat="0" applyFill="0" applyBorder="0" applyAlignment="0" applyProtection="0"/>
    <xf numFmtId="0" fontId="86" fillId="0" borderId="9" applyNumberFormat="0" applyFill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10" fontId="6" fillId="24" borderId="10" applyNumberFormat="0" applyBorder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4" fontId="73" fillId="0" borderId="0" applyBorder="0">
      <alignment horizontal="right" vertical="center"/>
    </xf>
    <xf numFmtId="4" fontId="73" fillId="0" borderId="11">
      <alignment horizontal="right" vertical="center"/>
    </xf>
    <xf numFmtId="40" fontId="7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61" fillId="0" borderId="12" applyNumberFormat="0" applyFill="0" applyAlignment="0" applyProtection="0"/>
    <xf numFmtId="0" fontId="61" fillId="0" borderId="12" applyNumberFormat="0" applyFill="0" applyAlignment="0" applyProtection="0"/>
    <xf numFmtId="0" fontId="23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61" fillId="0" borderId="12" applyNumberFormat="0" applyFill="0" applyAlignment="0" applyProtection="0"/>
    <xf numFmtId="0" fontId="61" fillId="0" borderId="12" applyNumberFormat="0" applyFill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62" fillId="22" borderId="4" applyNumberFormat="0" applyAlignment="0" applyProtection="0"/>
    <xf numFmtId="0" fontId="62" fillId="22" borderId="4" applyNumberFormat="0" applyAlignment="0" applyProtection="0"/>
    <xf numFmtId="0" fontId="16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62" fillId="22" borderId="4" applyNumberFormat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1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63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64" fillId="0" borderId="7" applyNumberFormat="0" applyFill="0" applyAlignment="0" applyProtection="0"/>
    <xf numFmtId="0" fontId="64" fillId="0" borderId="7" applyNumberFormat="0" applyFill="0" applyAlignment="0" applyProtection="0"/>
    <xf numFmtId="0" fontId="2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64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65" fillId="0" borderId="8" applyNumberFormat="0" applyFill="0" applyAlignment="0" applyProtection="0"/>
    <xf numFmtId="0" fontId="65" fillId="0" borderId="8" applyNumberFormat="0" applyFill="0" applyAlignment="0" applyProtection="0"/>
    <xf numFmtId="0" fontId="2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65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24" fillId="25" borderId="0" applyNumberFormat="0" applyBorder="0" applyAlignment="0" applyProtection="0"/>
    <xf numFmtId="0" fontId="104" fillId="42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37" fontId="87" fillId="0" borderId="0"/>
    <xf numFmtId="16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4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" fillId="0" borderId="0"/>
    <xf numFmtId="0" fontId="51" fillId="0" borderId="0"/>
    <xf numFmtId="0" fontId="52" fillId="0" borderId="0"/>
    <xf numFmtId="0" fontId="54" fillId="0" borderId="0"/>
    <xf numFmtId="0" fontId="43" fillId="0" borderId="0"/>
    <xf numFmtId="0" fontId="43" fillId="0" borderId="0"/>
    <xf numFmtId="0" fontId="76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2" fillId="0" borderId="0"/>
    <xf numFmtId="0" fontId="43" fillId="0" borderId="0"/>
    <xf numFmtId="0" fontId="43" fillId="0" borderId="0"/>
    <xf numFmtId="0" fontId="43" fillId="0" borderId="0"/>
    <xf numFmtId="0" fontId="52" fillId="0" borderId="0"/>
    <xf numFmtId="0" fontId="43" fillId="0" borderId="0"/>
    <xf numFmtId="0" fontId="43" fillId="0" borderId="0"/>
    <xf numFmtId="0" fontId="51" fillId="0" borderId="0"/>
    <xf numFmtId="0" fontId="43" fillId="0" borderId="0"/>
    <xf numFmtId="0" fontId="43" fillId="0" borderId="0"/>
    <xf numFmtId="0" fontId="52" fillId="0" borderId="0"/>
    <xf numFmtId="0" fontId="52" fillId="0" borderId="0"/>
    <xf numFmtId="0" fontId="99" fillId="0" borderId="0"/>
    <xf numFmtId="0" fontId="105" fillId="0" borderId="0"/>
    <xf numFmtId="0" fontId="7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76" fillId="0" borderId="0"/>
    <xf numFmtId="0" fontId="54" fillId="0" borderId="0"/>
    <xf numFmtId="0" fontId="7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6" fillId="0" borderId="0"/>
    <xf numFmtId="0" fontId="76" fillId="0" borderId="0"/>
    <xf numFmtId="0" fontId="76" fillId="0" borderId="0"/>
    <xf numFmtId="0" fontId="54" fillId="0" borderId="0"/>
    <xf numFmtId="0" fontId="54" fillId="0" borderId="0"/>
    <xf numFmtId="0" fontId="76" fillId="0" borderId="0"/>
    <xf numFmtId="0" fontId="54" fillId="0" borderId="0"/>
    <xf numFmtId="0" fontId="54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52" fillId="0" borderId="0"/>
    <xf numFmtId="0" fontId="43" fillId="0" borderId="0"/>
    <xf numFmtId="0" fontId="5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2" fillId="0" borderId="0"/>
    <xf numFmtId="0" fontId="43" fillId="0" borderId="0"/>
    <xf numFmtId="0" fontId="43" fillId="0" borderId="0"/>
    <xf numFmtId="0" fontId="52" fillId="0" borderId="0"/>
    <xf numFmtId="0" fontId="43" fillId="0" borderId="0"/>
    <xf numFmtId="0" fontId="43" fillId="0" borderId="0"/>
    <xf numFmtId="0" fontId="43" fillId="0" borderId="0"/>
    <xf numFmtId="0" fontId="52" fillId="0" borderId="0"/>
    <xf numFmtId="0" fontId="98" fillId="0" borderId="0"/>
    <xf numFmtId="0" fontId="43" fillId="0" borderId="0"/>
    <xf numFmtId="0" fontId="43" fillId="0" borderId="0"/>
    <xf numFmtId="0" fontId="43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12" fillId="27" borderId="13" applyNumberFormat="0" applyFont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67" fillId="21" borderId="3" applyNumberFormat="0" applyAlignment="0" applyProtection="0"/>
    <xf numFmtId="0" fontId="67" fillId="21" borderId="3" applyNumberFormat="0" applyAlignment="0" applyProtection="0"/>
    <xf numFmtId="0" fontId="15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67" fillId="21" borderId="3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10" fontId="5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8" fillId="0" borderId="0" applyNumberFormat="0" applyFill="0" applyBorder="0" applyAlignment="0" applyProtection="0">
      <alignment horizontal="center"/>
    </xf>
    <xf numFmtId="4" fontId="89" fillId="25" borderId="14" applyNumberFormat="0" applyProtection="0">
      <alignment vertical="center"/>
    </xf>
    <xf numFmtId="4" fontId="90" fillId="28" borderId="14" applyNumberFormat="0" applyProtection="0">
      <alignment vertical="center"/>
    </xf>
    <xf numFmtId="4" fontId="89" fillId="28" borderId="14" applyNumberFormat="0" applyProtection="0">
      <alignment horizontal="left" vertical="center" indent="1"/>
    </xf>
    <xf numFmtId="0" fontId="89" fillId="28" borderId="14" applyNumberFormat="0" applyProtection="0">
      <alignment horizontal="left" vertical="top" indent="1"/>
    </xf>
    <xf numFmtId="4" fontId="89" fillId="29" borderId="0" applyNumberFormat="0" applyProtection="0">
      <alignment horizontal="left" vertical="center" indent="1"/>
    </xf>
    <xf numFmtId="4" fontId="91" fillId="3" borderId="14" applyNumberFormat="0" applyProtection="0">
      <alignment horizontal="right" vertical="center"/>
    </xf>
    <xf numFmtId="4" fontId="91" fillId="9" borderId="14" applyNumberFormat="0" applyProtection="0">
      <alignment horizontal="right" vertical="center"/>
    </xf>
    <xf numFmtId="4" fontId="91" fillId="17" borderId="14" applyNumberFormat="0" applyProtection="0">
      <alignment horizontal="right" vertical="center"/>
    </xf>
    <xf numFmtId="4" fontId="91" fillId="11" borderId="14" applyNumberFormat="0" applyProtection="0">
      <alignment horizontal="right" vertical="center"/>
    </xf>
    <xf numFmtId="4" fontId="91" fillId="15" borderId="14" applyNumberFormat="0" applyProtection="0">
      <alignment horizontal="right" vertical="center"/>
    </xf>
    <xf numFmtId="4" fontId="91" fillId="19" borderId="14" applyNumberFormat="0" applyProtection="0">
      <alignment horizontal="right" vertical="center"/>
    </xf>
    <xf numFmtId="4" fontId="91" fillId="18" borderId="14" applyNumberFormat="0" applyProtection="0">
      <alignment horizontal="right" vertical="center"/>
    </xf>
    <xf numFmtId="4" fontId="91" fillId="30" borderId="14" applyNumberFormat="0" applyProtection="0">
      <alignment horizontal="right" vertical="center"/>
    </xf>
    <xf numFmtId="4" fontId="91" fillId="10" borderId="14" applyNumberFormat="0" applyProtection="0">
      <alignment horizontal="right" vertical="center"/>
    </xf>
    <xf numFmtId="4" fontId="89" fillId="31" borderId="15" applyNumberFormat="0" applyProtection="0">
      <alignment horizontal="left" vertical="center" indent="1"/>
    </xf>
    <xf numFmtId="4" fontId="91" fillId="32" borderId="0" applyNumberFormat="0" applyProtection="0">
      <alignment horizontal="left" vertical="center" indent="1"/>
    </xf>
    <xf numFmtId="4" fontId="92" fillId="33" borderId="0" applyNumberFormat="0" applyProtection="0">
      <alignment horizontal="left" vertical="center" indent="1"/>
    </xf>
    <xf numFmtId="4" fontId="91" fillId="34" borderId="14" applyNumberFormat="0" applyProtection="0">
      <alignment horizontal="right" vertical="center"/>
    </xf>
    <xf numFmtId="4" fontId="91" fillId="32" borderId="0" applyNumberFormat="0" applyProtection="0">
      <alignment horizontal="left" vertical="center" indent="1"/>
    </xf>
    <xf numFmtId="4" fontId="91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1" fillId="24" borderId="14" applyNumberFormat="0" applyProtection="0">
      <alignment vertical="center"/>
    </xf>
    <xf numFmtId="4" fontId="93" fillId="24" borderId="14" applyNumberFormat="0" applyProtection="0">
      <alignment vertical="center"/>
    </xf>
    <xf numFmtId="4" fontId="91" fillId="24" borderId="14" applyNumberFormat="0" applyProtection="0">
      <alignment horizontal="left" vertical="center" indent="1"/>
    </xf>
    <xf numFmtId="0" fontId="91" fillId="24" borderId="14" applyNumberFormat="0" applyProtection="0">
      <alignment horizontal="left" vertical="top" indent="1"/>
    </xf>
    <xf numFmtId="4" fontId="91" fillId="32" borderId="14" applyNumberFormat="0" applyProtection="0">
      <alignment horizontal="right" vertical="center"/>
    </xf>
    <xf numFmtId="4" fontId="93" fillId="32" borderId="14" applyNumberFormat="0" applyProtection="0">
      <alignment horizontal="right" vertical="center"/>
    </xf>
    <xf numFmtId="4" fontId="91" fillId="34" borderId="14" applyNumberFormat="0" applyProtection="0">
      <alignment horizontal="left" vertical="center" indent="1"/>
    </xf>
    <xf numFmtId="0" fontId="91" fillId="29" borderId="14" applyNumberFormat="0" applyProtection="0">
      <alignment horizontal="left" vertical="top" indent="1"/>
    </xf>
    <xf numFmtId="4" fontId="94" fillId="36" borderId="0" applyNumberFormat="0" applyProtection="0">
      <alignment horizontal="left" vertical="center" indent="1"/>
    </xf>
    <xf numFmtId="4" fontId="55" fillId="32" borderId="14" applyNumberFormat="0" applyProtection="0">
      <alignment horizontal="right" vertical="center"/>
    </xf>
    <xf numFmtId="0" fontId="14" fillId="3" borderId="0" applyNumberFormat="0" applyBorder="0" applyAlignment="0" applyProtection="0"/>
    <xf numFmtId="0" fontId="73" fillId="26" borderId="10"/>
    <xf numFmtId="0" fontId="45" fillId="0" borderId="0"/>
    <xf numFmtId="0" fontId="5" fillId="0" borderId="0"/>
    <xf numFmtId="0" fontId="53" fillId="0" borderId="0"/>
    <xf numFmtId="0" fontId="99" fillId="0" borderId="0"/>
    <xf numFmtId="0" fontId="99" fillId="0" borderId="0"/>
    <xf numFmtId="0" fontId="53" fillId="0" borderId="0"/>
    <xf numFmtId="0" fontId="99" fillId="0" borderId="0"/>
    <xf numFmtId="0" fontId="99" fillId="0" borderId="0"/>
    <xf numFmtId="0" fontId="106" fillId="0" borderId="0"/>
    <xf numFmtId="0" fontId="106" fillId="0" borderId="0"/>
    <xf numFmtId="0" fontId="106" fillId="0" borderId="0"/>
    <xf numFmtId="0" fontId="99" fillId="0" borderId="0"/>
    <xf numFmtId="0" fontId="99" fillId="0" borderId="0"/>
    <xf numFmtId="0" fontId="99" fillId="0" borderId="0"/>
    <xf numFmtId="0" fontId="5" fillId="0" borderId="0"/>
    <xf numFmtId="0" fontId="5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7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12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12" fillId="0" borderId="0"/>
    <xf numFmtId="0" fontId="12" fillId="0" borderId="0"/>
    <xf numFmtId="0" fontId="6" fillId="0" borderId="0"/>
    <xf numFmtId="0" fontId="99" fillId="0" borderId="0"/>
    <xf numFmtId="0" fontId="6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5" fillId="0" borderId="0"/>
    <xf numFmtId="0" fontId="3" fillId="37" borderId="16" applyNumberFormat="0" applyProtection="0">
      <alignment horizontal="center" wrapText="1"/>
    </xf>
    <xf numFmtId="0" fontId="3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0" fontId="5" fillId="0" borderId="0" applyFill="0" applyBorder="0" applyAlignment="0" applyProtection="0">
      <alignment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95" fillId="0" borderId="0" applyNumberFormat="0" applyFill="0" applyBorder="0">
      <alignment horizontal="left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68" fillId="0" borderId="5" applyNumberFormat="0" applyFill="0" applyAlignment="0" applyProtection="0"/>
    <xf numFmtId="0" fontId="68" fillId="0" borderId="5" applyNumberFormat="0" applyFill="0" applyAlignment="0" applyProtection="0"/>
    <xf numFmtId="0" fontId="27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68" fillId="0" borderId="5" applyNumberFormat="0" applyFill="0" applyAlignment="0" applyProtection="0"/>
    <xf numFmtId="0" fontId="68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27" fillId="0" borderId="5" applyNumberFormat="0" applyFill="0" applyAlignment="0" applyProtection="0"/>
    <xf numFmtId="0" fontId="85" fillId="0" borderId="0">
      <protection locked="0"/>
    </xf>
    <xf numFmtId="0" fontId="27" fillId="0" borderId="5" applyNumberFormat="0" applyFill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37" fontId="6" fillId="28" borderId="0" applyNumberFormat="0" applyBorder="0" applyAlignment="0" applyProtection="0"/>
    <xf numFmtId="37" fontId="6" fillId="0" borderId="0"/>
    <xf numFmtId="37" fontId="6" fillId="28" borderId="0" applyNumberFormat="0" applyBorder="0" applyAlignment="0" applyProtection="0"/>
    <xf numFmtId="3" fontId="96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76" fillId="27" borderId="13" applyNumberFormat="0" applyFont="0" applyAlignment="0" applyProtection="0"/>
    <xf numFmtId="0" fontId="54" fillId="27" borderId="13" applyNumberFormat="0" applyFont="0" applyAlignment="0" applyProtection="0"/>
    <xf numFmtId="0" fontId="54" fillId="27" borderId="13" applyNumberFormat="0" applyFont="0" applyAlignment="0" applyProtection="0"/>
    <xf numFmtId="0" fontId="76" fillId="27" borderId="13" applyNumberFormat="0" applyFont="0" applyAlignment="0" applyProtection="0"/>
    <xf numFmtId="0" fontId="54" fillId="27" borderId="13" applyNumberFormat="0" applyFont="0" applyAlignment="0" applyProtection="0"/>
    <xf numFmtId="0" fontId="54" fillId="27" borderId="13" applyNumberFormat="0" applyFont="0" applyAlignment="0" applyProtection="0"/>
    <xf numFmtId="0" fontId="5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76" fillId="27" borderId="13" applyNumberFormat="0" applyFont="0" applyAlignment="0" applyProtection="0"/>
    <xf numFmtId="0" fontId="54" fillId="27" borderId="13" applyNumberFormat="0" applyFont="0" applyAlignment="0" applyProtection="0"/>
    <xf numFmtId="0" fontId="54" fillId="27" borderId="13" applyNumberFormat="0" applyFont="0" applyAlignment="0" applyProtection="0"/>
    <xf numFmtId="0" fontId="23" fillId="0" borderId="12" applyNumberFormat="0" applyFill="0" applyAlignment="0" applyProtection="0"/>
    <xf numFmtId="168" fontId="5" fillId="0" borderId="0" applyFont="0" applyFill="0" applyBorder="0" applyAlignment="0" applyProtection="0"/>
    <xf numFmtId="174" fontId="7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83" fontId="97" fillId="0" borderId="0">
      <alignment horizontal="right" vertical="center"/>
    </xf>
    <xf numFmtId="0" fontId="16" fillId="22" borderId="4" applyNumberFormat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71" fillId="3" borderId="0" applyNumberFormat="0" applyBorder="0" applyAlignment="0" applyProtection="0"/>
    <xf numFmtId="0" fontId="71" fillId="3" borderId="0" applyNumberFormat="0" applyBorder="0" applyAlignment="0" applyProtection="0"/>
    <xf numFmtId="0" fontId="14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71" fillId="3" borderId="0" applyNumberFormat="0" applyBorder="0" applyAlignment="0" applyProtection="0"/>
    <xf numFmtId="0" fontId="71" fillId="3" borderId="0" applyNumberFormat="0" applyBorder="0" applyAlignment="0" applyProtection="0"/>
    <xf numFmtId="4" fontId="73" fillId="0" borderId="0"/>
    <xf numFmtId="0" fontId="50" fillId="0" borderId="0" applyNumberFormat="0" applyFill="0" applyBorder="0" applyAlignment="0" applyProtection="0">
      <alignment vertical="center"/>
    </xf>
    <xf numFmtId="0" fontId="43" fillId="0" borderId="0"/>
    <xf numFmtId="0" fontId="107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/>
    <xf numFmtId="0" fontId="43" fillId="0" borderId="0"/>
    <xf numFmtId="0" fontId="43" fillId="0" borderId="0"/>
    <xf numFmtId="0" fontId="54" fillId="0" borderId="0"/>
    <xf numFmtId="0" fontId="54" fillId="0" borderId="0"/>
    <xf numFmtId="0" fontId="54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109" fillId="0" borderId="0"/>
    <xf numFmtId="0" fontId="110" fillId="0" borderId="0"/>
    <xf numFmtId="0" fontId="43" fillId="0" borderId="0"/>
    <xf numFmtId="0" fontId="5" fillId="0" borderId="0"/>
    <xf numFmtId="0" fontId="111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42">
    <xf numFmtId="0" fontId="0" fillId="0" borderId="0" xfId="0"/>
    <xf numFmtId="0" fontId="43" fillId="0" borderId="0" xfId="0" applyFont="1"/>
    <xf numFmtId="0" fontId="6" fillId="0" borderId="0" xfId="0" applyFont="1" applyAlignment="1">
      <alignment horizontal="left" wrapText="1"/>
    </xf>
    <xf numFmtId="0" fontId="7" fillId="0" borderId="0" xfId="0" applyFont="1"/>
    <xf numFmtId="0" fontId="10" fillId="0" borderId="0" xfId="0" applyFont="1"/>
    <xf numFmtId="0" fontId="5" fillId="0" borderId="0" xfId="800"/>
    <xf numFmtId="0" fontId="7" fillId="0" borderId="0" xfId="800" applyFont="1" applyAlignment="1">
      <alignment horizontal="left"/>
    </xf>
    <xf numFmtId="0" fontId="7" fillId="0" borderId="0" xfId="0" quotePrefix="1" applyFont="1" applyAlignment="1">
      <alignment horizontal="left"/>
    </xf>
    <xf numFmtId="0" fontId="6" fillId="0" borderId="0" xfId="0" applyFont="1"/>
    <xf numFmtId="184" fontId="4" fillId="40" borderId="0" xfId="0" applyNumberFormat="1" applyFont="1" applyFill="1"/>
    <xf numFmtId="184" fontId="5" fillId="0" borderId="0" xfId="0" applyNumberFormat="1" applyFont="1"/>
    <xf numFmtId="184" fontId="7" fillId="0" borderId="0" xfId="0" applyNumberFormat="1" applyFont="1"/>
    <xf numFmtId="184" fontId="0" fillId="0" borderId="0" xfId="0" applyNumberFormat="1"/>
    <xf numFmtId="184" fontId="0" fillId="43" borderId="0" xfId="0" applyNumberFormat="1" applyFill="1"/>
    <xf numFmtId="0" fontId="43" fillId="0" borderId="0" xfId="0" applyFont="1" applyAlignment="1" applyProtection="1">
      <alignment vertical="top"/>
      <protection locked="0"/>
    </xf>
    <xf numFmtId="184" fontId="3" fillId="28" borderId="18" xfId="0" applyNumberFormat="1" applyFont="1" applyFill="1" applyBorder="1" applyAlignment="1">
      <alignment horizontal="center" vertical="center"/>
    </xf>
    <xf numFmtId="184" fontId="4" fillId="40" borderId="0" xfId="0" quotePrefix="1" applyNumberFormat="1" applyFont="1" applyFill="1"/>
    <xf numFmtId="0" fontId="4" fillId="40" borderId="0" xfId="0" quotePrefix="1" applyFont="1" applyFill="1"/>
    <xf numFmtId="0" fontId="8" fillId="40" borderId="0" xfId="0" applyFont="1" applyFill="1"/>
    <xf numFmtId="0" fontId="4" fillId="40" borderId="0" xfId="0" applyFont="1" applyFill="1"/>
    <xf numFmtId="184" fontId="5" fillId="39" borderId="18" xfId="791" applyNumberFormat="1" applyFill="1" applyBorder="1" applyAlignment="1">
      <alignment horizontal="center" vertical="center" wrapText="1"/>
    </xf>
    <xf numFmtId="0" fontId="3" fillId="28" borderId="18" xfId="0" applyFont="1" applyFill="1" applyBorder="1" applyAlignment="1">
      <alignment horizontal="center" vertical="center"/>
    </xf>
    <xf numFmtId="0" fontId="107" fillId="0" borderId="0" xfId="1244"/>
    <xf numFmtId="0" fontId="108" fillId="0" borderId="0" xfId="0" applyFont="1"/>
    <xf numFmtId="184" fontId="0" fillId="44" borderId="0" xfId="0" applyNumberFormat="1" applyFill="1" applyAlignment="1">
      <alignment horizontal="left"/>
    </xf>
    <xf numFmtId="0" fontId="0" fillId="0" borderId="0" xfId="0" applyAlignment="1">
      <alignment horizontal="center"/>
    </xf>
    <xf numFmtId="0" fontId="0" fillId="45" borderId="0" xfId="0" applyFill="1" applyAlignment="1">
      <alignment horizontal="center"/>
    </xf>
    <xf numFmtId="0" fontId="43" fillId="44" borderId="0" xfId="0" applyFont="1" applyFill="1"/>
    <xf numFmtId="0" fontId="43" fillId="46" borderId="0" xfId="0" applyFont="1" applyFill="1"/>
    <xf numFmtId="0" fontId="43" fillId="44" borderId="0" xfId="0" applyFont="1" applyFill="1" applyAlignment="1">
      <alignment horizontal="left"/>
    </xf>
    <xf numFmtId="0" fontId="43" fillId="46" borderId="0" xfId="0" applyFont="1" applyFill="1" applyAlignment="1">
      <alignment horizontal="left"/>
    </xf>
    <xf numFmtId="0" fontId="43" fillId="44" borderId="0" xfId="0" applyFont="1" applyFill="1" applyAlignment="1">
      <alignment horizontal="center"/>
    </xf>
    <xf numFmtId="184" fontId="5" fillId="39" borderId="19" xfId="791" applyNumberFormat="1" applyFill="1" applyBorder="1" applyAlignment="1">
      <alignment horizontal="center" vertical="center" wrapText="1"/>
    </xf>
    <xf numFmtId="0" fontId="5" fillId="39" borderId="19" xfId="791" applyFill="1" applyBorder="1" applyAlignment="1">
      <alignment horizontal="center" vertical="center" wrapText="1"/>
    </xf>
    <xf numFmtId="185" fontId="43" fillId="44" borderId="0" xfId="0" applyNumberFormat="1" applyFont="1" applyFill="1" applyAlignment="1">
      <alignment horizontal="center"/>
    </xf>
    <xf numFmtId="185" fontId="43" fillId="46" borderId="0" xfId="0" applyNumberFormat="1" applyFont="1" applyFill="1" applyAlignment="1">
      <alignment horizontal="center"/>
    </xf>
    <xf numFmtId="9" fontId="43" fillId="0" borderId="0" xfId="0" applyNumberFormat="1" applyFont="1"/>
    <xf numFmtId="185" fontId="0" fillId="45" borderId="0" xfId="0" applyNumberFormat="1" applyFill="1" applyAlignment="1">
      <alignment horizontal="center"/>
    </xf>
    <xf numFmtId="185" fontId="0" fillId="47" borderId="0" xfId="0" applyNumberFormat="1" applyFill="1" applyAlignment="1">
      <alignment horizontal="center"/>
    </xf>
    <xf numFmtId="0" fontId="43" fillId="0" borderId="0" xfId="0" applyFont="1" applyAlignment="1">
      <alignment horizontal="center"/>
    </xf>
    <xf numFmtId="185" fontId="0" fillId="0" borderId="0" xfId="0" applyNumberFormat="1" applyAlignment="1">
      <alignment horizontal="center"/>
    </xf>
    <xf numFmtId="184" fontId="5" fillId="39" borderId="19" xfId="791" applyNumberFormat="1" applyFill="1" applyBorder="1" applyAlignment="1">
      <alignment horizontal="center" vertical="center" wrapText="1"/>
    </xf>
  </cellXfs>
  <cellStyles count="1263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1" xfId="23" xr:uid="{00000000-0005-0000-0000-000016000000}"/>
    <cellStyle name="20% - akcent 1 12" xfId="24" xr:uid="{00000000-0005-0000-0000-000017000000}"/>
    <cellStyle name="20% - akcent 1 2" xfId="25" xr:uid="{00000000-0005-0000-0000-000018000000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_D_HEAT" xfId="35" xr:uid="{00000000-0005-0000-0000-000022000000}"/>
    <cellStyle name="20% - akcent 2" xfId="36" xr:uid="{00000000-0005-0000-0000-000023000000}"/>
    <cellStyle name="20% - akcent 2 10" xfId="37" xr:uid="{00000000-0005-0000-0000-000024000000}"/>
    <cellStyle name="20% - akcent 2 10 2" xfId="38" xr:uid="{00000000-0005-0000-0000-000025000000}"/>
    <cellStyle name="20% - akcent 2 10 3" xfId="39" xr:uid="{00000000-0005-0000-0000-000026000000}"/>
    <cellStyle name="20% - akcent 2 11" xfId="40" xr:uid="{00000000-0005-0000-0000-000027000000}"/>
    <cellStyle name="20% - akcent 2 12" xfId="41" xr:uid="{00000000-0005-0000-0000-000028000000}"/>
    <cellStyle name="20% - akcent 2 2" xfId="42" xr:uid="{00000000-0005-0000-0000-000029000000}"/>
    <cellStyle name="20% - akcent 2 3" xfId="43" xr:uid="{00000000-0005-0000-0000-00002A000000}"/>
    <cellStyle name="20% - akcent 2 4" xfId="44" xr:uid="{00000000-0005-0000-0000-00002B000000}"/>
    <cellStyle name="20% - akcent 2 5" xfId="45" xr:uid="{00000000-0005-0000-0000-00002C000000}"/>
    <cellStyle name="20% - akcent 2 6" xfId="46" xr:uid="{00000000-0005-0000-0000-00002D000000}"/>
    <cellStyle name="20% - akcent 2 7" xfId="47" xr:uid="{00000000-0005-0000-0000-00002E000000}"/>
    <cellStyle name="20% - akcent 2 8" xfId="48" xr:uid="{00000000-0005-0000-0000-00002F000000}"/>
    <cellStyle name="20% - akcent 2 9" xfId="49" xr:uid="{00000000-0005-0000-0000-000030000000}"/>
    <cellStyle name="20% - akcent 2 9 2" xfId="50" xr:uid="{00000000-0005-0000-0000-000031000000}"/>
    <cellStyle name="20% - akcent 2 9 3" xfId="51" xr:uid="{00000000-0005-0000-0000-000032000000}"/>
    <cellStyle name="20% - akcent 2_D_HEAT" xfId="52" xr:uid="{00000000-0005-0000-0000-000033000000}"/>
    <cellStyle name="20% - akcent 3" xfId="53" xr:uid="{00000000-0005-0000-0000-000034000000}"/>
    <cellStyle name="20% - akcent 3 10" xfId="54" xr:uid="{00000000-0005-0000-0000-000035000000}"/>
    <cellStyle name="20% - akcent 3 10 2" xfId="55" xr:uid="{00000000-0005-0000-0000-000036000000}"/>
    <cellStyle name="20% - akcent 3 10 3" xfId="56" xr:uid="{00000000-0005-0000-0000-000037000000}"/>
    <cellStyle name="20% - akcent 3 11" xfId="57" xr:uid="{00000000-0005-0000-0000-000038000000}"/>
    <cellStyle name="20% - akcent 3 12" xfId="58" xr:uid="{00000000-0005-0000-0000-000039000000}"/>
    <cellStyle name="20% - akcent 3 2" xfId="59" xr:uid="{00000000-0005-0000-0000-00003A000000}"/>
    <cellStyle name="20% - akcent 3 3" xfId="60" xr:uid="{00000000-0005-0000-0000-00003B000000}"/>
    <cellStyle name="20% - akcent 3 4" xfId="61" xr:uid="{00000000-0005-0000-0000-00003C000000}"/>
    <cellStyle name="20% - akcent 3 5" xfId="62" xr:uid="{00000000-0005-0000-0000-00003D000000}"/>
    <cellStyle name="20% - akcent 3 6" xfId="63" xr:uid="{00000000-0005-0000-0000-00003E000000}"/>
    <cellStyle name="20% - akcent 3 7" xfId="64" xr:uid="{00000000-0005-0000-0000-00003F000000}"/>
    <cellStyle name="20% - akcent 3 8" xfId="65" xr:uid="{00000000-0005-0000-0000-000040000000}"/>
    <cellStyle name="20% - akcent 3 9" xfId="66" xr:uid="{00000000-0005-0000-0000-000041000000}"/>
    <cellStyle name="20% - akcent 3 9 2" xfId="67" xr:uid="{00000000-0005-0000-0000-000042000000}"/>
    <cellStyle name="20% - akcent 3 9 3" xfId="68" xr:uid="{00000000-0005-0000-0000-000043000000}"/>
    <cellStyle name="20% - akcent 3_D_HEAT" xfId="69" xr:uid="{00000000-0005-0000-0000-000044000000}"/>
    <cellStyle name="20% - akcent 4" xfId="70" xr:uid="{00000000-0005-0000-0000-000045000000}"/>
    <cellStyle name="20% - akcent 4 10" xfId="71" xr:uid="{00000000-0005-0000-0000-000046000000}"/>
    <cellStyle name="20% - akcent 4 10 2" xfId="72" xr:uid="{00000000-0005-0000-0000-000047000000}"/>
    <cellStyle name="20% - akcent 4 10 3" xfId="73" xr:uid="{00000000-0005-0000-0000-000048000000}"/>
    <cellStyle name="20% - akcent 4 11" xfId="74" xr:uid="{00000000-0005-0000-0000-000049000000}"/>
    <cellStyle name="20% - akcent 4 12" xfId="75" xr:uid="{00000000-0005-0000-0000-00004A000000}"/>
    <cellStyle name="20% - akcent 4 2" xfId="76" xr:uid="{00000000-0005-0000-0000-00004B000000}"/>
    <cellStyle name="20% - akcent 4 3" xfId="77" xr:uid="{00000000-0005-0000-0000-00004C000000}"/>
    <cellStyle name="20% - akcent 4 4" xfId="78" xr:uid="{00000000-0005-0000-0000-00004D000000}"/>
    <cellStyle name="20% - akcent 4 5" xfId="79" xr:uid="{00000000-0005-0000-0000-00004E000000}"/>
    <cellStyle name="20% - akcent 4 6" xfId="80" xr:uid="{00000000-0005-0000-0000-00004F000000}"/>
    <cellStyle name="20% - akcent 4 7" xfId="81" xr:uid="{00000000-0005-0000-0000-000050000000}"/>
    <cellStyle name="20% - akcent 4 8" xfId="82" xr:uid="{00000000-0005-0000-0000-000051000000}"/>
    <cellStyle name="20% - akcent 4 9" xfId="83" xr:uid="{00000000-0005-0000-0000-000052000000}"/>
    <cellStyle name="20% - akcent 4 9 2" xfId="84" xr:uid="{00000000-0005-0000-0000-000053000000}"/>
    <cellStyle name="20% - akcent 4 9 3" xfId="85" xr:uid="{00000000-0005-0000-0000-000054000000}"/>
    <cellStyle name="20% - akcent 4_D_HEAT" xfId="86" xr:uid="{00000000-0005-0000-0000-000055000000}"/>
    <cellStyle name="20% - akcent 5" xfId="87" xr:uid="{00000000-0005-0000-0000-000056000000}"/>
    <cellStyle name="20% - akcent 5 10" xfId="88" xr:uid="{00000000-0005-0000-0000-000057000000}"/>
    <cellStyle name="20% - akcent 5 10 2" xfId="89" xr:uid="{00000000-0005-0000-0000-000058000000}"/>
    <cellStyle name="20% - akcent 5 10 3" xfId="90" xr:uid="{00000000-0005-0000-0000-000059000000}"/>
    <cellStyle name="20% - akcent 5 11" xfId="91" xr:uid="{00000000-0005-0000-0000-00005A000000}"/>
    <cellStyle name="20% - akcent 5 12" xfId="92" xr:uid="{00000000-0005-0000-0000-00005B000000}"/>
    <cellStyle name="20% - akcent 5 2" xfId="93" xr:uid="{00000000-0005-0000-0000-00005C000000}"/>
    <cellStyle name="20% - akcent 5 3" xfId="94" xr:uid="{00000000-0005-0000-0000-00005D000000}"/>
    <cellStyle name="20% - akcent 5 4" xfId="95" xr:uid="{00000000-0005-0000-0000-00005E000000}"/>
    <cellStyle name="20% - akcent 5 5" xfId="96" xr:uid="{00000000-0005-0000-0000-00005F000000}"/>
    <cellStyle name="20% - akcent 5 6" xfId="97" xr:uid="{00000000-0005-0000-0000-000060000000}"/>
    <cellStyle name="20% - akcent 5 7" xfId="98" xr:uid="{00000000-0005-0000-0000-000061000000}"/>
    <cellStyle name="20% - akcent 5 8" xfId="99" xr:uid="{00000000-0005-0000-0000-000062000000}"/>
    <cellStyle name="20% - akcent 5 9" xfId="100" xr:uid="{00000000-0005-0000-0000-000063000000}"/>
    <cellStyle name="20% - akcent 5 9 2" xfId="101" xr:uid="{00000000-0005-0000-0000-000064000000}"/>
    <cellStyle name="20% - akcent 5 9 3" xfId="102" xr:uid="{00000000-0005-0000-0000-000065000000}"/>
    <cellStyle name="20% - akcent 5_D_HEAT" xfId="103" xr:uid="{00000000-0005-0000-0000-000066000000}"/>
    <cellStyle name="20% - akcent 6" xfId="104" xr:uid="{00000000-0005-0000-0000-000067000000}"/>
    <cellStyle name="20% - akcent 6 10" xfId="105" xr:uid="{00000000-0005-0000-0000-000068000000}"/>
    <cellStyle name="20% - akcent 6 10 2" xfId="106" xr:uid="{00000000-0005-0000-0000-000069000000}"/>
    <cellStyle name="20% - akcent 6 10 3" xfId="107" xr:uid="{00000000-0005-0000-0000-00006A000000}"/>
    <cellStyle name="20% - akcent 6 11" xfId="108" xr:uid="{00000000-0005-0000-0000-00006B000000}"/>
    <cellStyle name="20% - akcent 6 12" xfId="109" xr:uid="{00000000-0005-0000-0000-00006C000000}"/>
    <cellStyle name="20% - akcent 6 2" xfId="110" xr:uid="{00000000-0005-0000-0000-00006D000000}"/>
    <cellStyle name="20% - akcent 6 3" xfId="111" xr:uid="{00000000-0005-0000-0000-00006E000000}"/>
    <cellStyle name="20% - akcent 6 4" xfId="112" xr:uid="{00000000-0005-0000-0000-00006F000000}"/>
    <cellStyle name="20% - akcent 6 5" xfId="113" xr:uid="{00000000-0005-0000-0000-000070000000}"/>
    <cellStyle name="20% - akcent 6 6" xfId="114" xr:uid="{00000000-0005-0000-0000-000071000000}"/>
    <cellStyle name="20% - akcent 6 7" xfId="115" xr:uid="{00000000-0005-0000-0000-000072000000}"/>
    <cellStyle name="20% - akcent 6 8" xfId="116" xr:uid="{00000000-0005-0000-0000-000073000000}"/>
    <cellStyle name="20% - akcent 6 9" xfId="117" xr:uid="{00000000-0005-0000-0000-000074000000}"/>
    <cellStyle name="20% - akcent 6 9 2" xfId="118" xr:uid="{00000000-0005-0000-0000-000075000000}"/>
    <cellStyle name="20% - akcent 6 9 3" xfId="119" xr:uid="{00000000-0005-0000-0000-000076000000}"/>
    <cellStyle name="20% - akcent 6_D_HEAT" xfId="120" xr:uid="{00000000-0005-0000-0000-000077000000}"/>
    <cellStyle name="2x indented GHG Textfiels" xfId="121" xr:uid="{00000000-0005-0000-0000-000078000000}"/>
    <cellStyle name="2x indented GHG Textfiels 2" xfId="122" xr:uid="{00000000-0005-0000-0000-000079000000}"/>
    <cellStyle name="40 % - Akzent1 2" xfId="123" xr:uid="{00000000-0005-0000-0000-00007A000000}"/>
    <cellStyle name="40 % - Akzent2 2" xfId="124" xr:uid="{00000000-0005-0000-0000-00007B000000}"/>
    <cellStyle name="40 % - Akzent3 2" xfId="125" xr:uid="{00000000-0005-0000-0000-00007C000000}"/>
    <cellStyle name="40 % - Akzent4 2" xfId="126" xr:uid="{00000000-0005-0000-0000-00007D000000}"/>
    <cellStyle name="40 % - Akzent5 2" xfId="127" xr:uid="{00000000-0005-0000-0000-00007E000000}"/>
    <cellStyle name="40 % - Akzent6 2" xfId="128" xr:uid="{00000000-0005-0000-0000-00007F000000}"/>
    <cellStyle name="40% - Accent1 2" xfId="129" xr:uid="{00000000-0005-0000-0000-000080000000}"/>
    <cellStyle name="40% - Accent1 3" xfId="130" xr:uid="{00000000-0005-0000-0000-000081000000}"/>
    <cellStyle name="40% - Accent2 2" xfId="131" xr:uid="{00000000-0005-0000-0000-000082000000}"/>
    <cellStyle name="40% - Accent2 3" xfId="132" xr:uid="{00000000-0005-0000-0000-000083000000}"/>
    <cellStyle name="40% - Accent3 2" xfId="133" xr:uid="{00000000-0005-0000-0000-000084000000}"/>
    <cellStyle name="40% - Accent3 3" xfId="134" xr:uid="{00000000-0005-0000-0000-000085000000}"/>
    <cellStyle name="40% - Accent4 2" xfId="135" xr:uid="{00000000-0005-0000-0000-000086000000}"/>
    <cellStyle name="40% - Accent4 3" xfId="136" xr:uid="{00000000-0005-0000-0000-000087000000}"/>
    <cellStyle name="40% - Accent5 2" xfId="137" xr:uid="{00000000-0005-0000-0000-000088000000}"/>
    <cellStyle name="40% - Accent5 3" xfId="138" xr:uid="{00000000-0005-0000-0000-000089000000}"/>
    <cellStyle name="40% - Accent6 2" xfId="139" xr:uid="{00000000-0005-0000-0000-00008A000000}"/>
    <cellStyle name="40% - Accent6 3" xfId="140" xr:uid="{00000000-0005-0000-0000-00008B000000}"/>
    <cellStyle name="40% - akcent 1" xfId="141" xr:uid="{00000000-0005-0000-0000-00008C000000}"/>
    <cellStyle name="40% - akcent 1 10" xfId="142" xr:uid="{00000000-0005-0000-0000-00008D000000}"/>
    <cellStyle name="40% - akcent 1 10 2" xfId="143" xr:uid="{00000000-0005-0000-0000-00008E000000}"/>
    <cellStyle name="40% - akcent 1 10 3" xfId="144" xr:uid="{00000000-0005-0000-0000-00008F000000}"/>
    <cellStyle name="40% - akcent 1 11" xfId="145" xr:uid="{00000000-0005-0000-0000-000090000000}"/>
    <cellStyle name="40% - akcent 1 12" xfId="146" xr:uid="{00000000-0005-0000-0000-000091000000}"/>
    <cellStyle name="40% - akcent 1 2" xfId="147" xr:uid="{00000000-0005-0000-0000-000092000000}"/>
    <cellStyle name="40% - akcent 1 3" xfId="148" xr:uid="{00000000-0005-0000-0000-000093000000}"/>
    <cellStyle name="40% - akcent 1 4" xfId="149" xr:uid="{00000000-0005-0000-0000-000094000000}"/>
    <cellStyle name="40% - akcent 1 5" xfId="150" xr:uid="{00000000-0005-0000-0000-000095000000}"/>
    <cellStyle name="40% - akcent 1 6" xfId="151" xr:uid="{00000000-0005-0000-0000-000096000000}"/>
    <cellStyle name="40% - akcent 1 7" xfId="152" xr:uid="{00000000-0005-0000-0000-000097000000}"/>
    <cellStyle name="40% - akcent 1 8" xfId="153" xr:uid="{00000000-0005-0000-0000-000098000000}"/>
    <cellStyle name="40% - akcent 1 9" xfId="154" xr:uid="{00000000-0005-0000-0000-000099000000}"/>
    <cellStyle name="40% - akcent 1 9 2" xfId="155" xr:uid="{00000000-0005-0000-0000-00009A000000}"/>
    <cellStyle name="40% - akcent 1 9 3" xfId="156" xr:uid="{00000000-0005-0000-0000-00009B000000}"/>
    <cellStyle name="40% - akcent 1_D_HEAT" xfId="157" xr:uid="{00000000-0005-0000-0000-00009C000000}"/>
    <cellStyle name="40% - akcent 2" xfId="158" xr:uid="{00000000-0005-0000-0000-00009D000000}"/>
    <cellStyle name="40% - akcent 2 10" xfId="159" xr:uid="{00000000-0005-0000-0000-00009E000000}"/>
    <cellStyle name="40% - akcent 2 10 2" xfId="160" xr:uid="{00000000-0005-0000-0000-00009F000000}"/>
    <cellStyle name="40% - akcent 2 10 3" xfId="161" xr:uid="{00000000-0005-0000-0000-0000A0000000}"/>
    <cellStyle name="40% - akcent 2 11" xfId="162" xr:uid="{00000000-0005-0000-0000-0000A1000000}"/>
    <cellStyle name="40% - akcent 2 12" xfId="163" xr:uid="{00000000-0005-0000-0000-0000A2000000}"/>
    <cellStyle name="40% - akcent 2 2" xfId="164" xr:uid="{00000000-0005-0000-0000-0000A3000000}"/>
    <cellStyle name="40% - akcent 2 3" xfId="165" xr:uid="{00000000-0005-0000-0000-0000A4000000}"/>
    <cellStyle name="40% - akcent 2 4" xfId="166" xr:uid="{00000000-0005-0000-0000-0000A5000000}"/>
    <cellStyle name="40% - akcent 2 5" xfId="167" xr:uid="{00000000-0005-0000-0000-0000A6000000}"/>
    <cellStyle name="40% - akcent 2 6" xfId="168" xr:uid="{00000000-0005-0000-0000-0000A7000000}"/>
    <cellStyle name="40% - akcent 2 7" xfId="169" xr:uid="{00000000-0005-0000-0000-0000A8000000}"/>
    <cellStyle name="40% - akcent 2 8" xfId="170" xr:uid="{00000000-0005-0000-0000-0000A9000000}"/>
    <cellStyle name="40% - akcent 2 9" xfId="171" xr:uid="{00000000-0005-0000-0000-0000AA000000}"/>
    <cellStyle name="40% - akcent 2 9 2" xfId="172" xr:uid="{00000000-0005-0000-0000-0000AB000000}"/>
    <cellStyle name="40% - akcent 2 9 3" xfId="173" xr:uid="{00000000-0005-0000-0000-0000AC000000}"/>
    <cellStyle name="40% - akcent 2_D_HEAT" xfId="174" xr:uid="{00000000-0005-0000-0000-0000AD000000}"/>
    <cellStyle name="40% - akcent 3" xfId="175" xr:uid="{00000000-0005-0000-0000-0000AE000000}"/>
    <cellStyle name="40% - akcent 3 10" xfId="176" xr:uid="{00000000-0005-0000-0000-0000AF000000}"/>
    <cellStyle name="40% - akcent 3 10 2" xfId="177" xr:uid="{00000000-0005-0000-0000-0000B0000000}"/>
    <cellStyle name="40% - akcent 3 10 3" xfId="178" xr:uid="{00000000-0005-0000-0000-0000B1000000}"/>
    <cellStyle name="40% - akcent 3 11" xfId="179" xr:uid="{00000000-0005-0000-0000-0000B2000000}"/>
    <cellStyle name="40% - akcent 3 12" xfId="180" xr:uid="{00000000-0005-0000-0000-0000B3000000}"/>
    <cellStyle name="40% - akcent 3 2" xfId="181" xr:uid="{00000000-0005-0000-0000-0000B4000000}"/>
    <cellStyle name="40% - akcent 3 3" xfId="182" xr:uid="{00000000-0005-0000-0000-0000B5000000}"/>
    <cellStyle name="40% - akcent 3 4" xfId="183" xr:uid="{00000000-0005-0000-0000-0000B6000000}"/>
    <cellStyle name="40% - akcent 3 5" xfId="184" xr:uid="{00000000-0005-0000-0000-0000B7000000}"/>
    <cellStyle name="40% - akcent 3 6" xfId="185" xr:uid="{00000000-0005-0000-0000-0000B8000000}"/>
    <cellStyle name="40% - akcent 3 7" xfId="186" xr:uid="{00000000-0005-0000-0000-0000B9000000}"/>
    <cellStyle name="40% - akcent 3 8" xfId="187" xr:uid="{00000000-0005-0000-0000-0000BA000000}"/>
    <cellStyle name="40% - akcent 3 9" xfId="188" xr:uid="{00000000-0005-0000-0000-0000BB000000}"/>
    <cellStyle name="40% - akcent 3 9 2" xfId="189" xr:uid="{00000000-0005-0000-0000-0000BC000000}"/>
    <cellStyle name="40% - akcent 3 9 3" xfId="190" xr:uid="{00000000-0005-0000-0000-0000BD000000}"/>
    <cellStyle name="40% - akcent 3_D_HEAT" xfId="191" xr:uid="{00000000-0005-0000-0000-0000BE000000}"/>
    <cellStyle name="40% - akcent 4" xfId="192" xr:uid="{00000000-0005-0000-0000-0000BF000000}"/>
    <cellStyle name="40% - akcent 4 10" xfId="193" xr:uid="{00000000-0005-0000-0000-0000C0000000}"/>
    <cellStyle name="40% - akcent 4 10 2" xfId="194" xr:uid="{00000000-0005-0000-0000-0000C1000000}"/>
    <cellStyle name="40% - akcent 4 10 3" xfId="195" xr:uid="{00000000-0005-0000-0000-0000C2000000}"/>
    <cellStyle name="40% - akcent 4 11" xfId="196" xr:uid="{00000000-0005-0000-0000-0000C3000000}"/>
    <cellStyle name="40% - akcent 4 12" xfId="197" xr:uid="{00000000-0005-0000-0000-0000C4000000}"/>
    <cellStyle name="40% - akcent 4 2" xfId="198" xr:uid="{00000000-0005-0000-0000-0000C5000000}"/>
    <cellStyle name="40% - akcent 4 3" xfId="199" xr:uid="{00000000-0005-0000-0000-0000C6000000}"/>
    <cellStyle name="40% - akcent 4 4" xfId="200" xr:uid="{00000000-0005-0000-0000-0000C7000000}"/>
    <cellStyle name="40% - akcent 4 5" xfId="201" xr:uid="{00000000-0005-0000-0000-0000C8000000}"/>
    <cellStyle name="40% - akcent 4 6" xfId="202" xr:uid="{00000000-0005-0000-0000-0000C9000000}"/>
    <cellStyle name="40% - akcent 4 7" xfId="203" xr:uid="{00000000-0005-0000-0000-0000CA000000}"/>
    <cellStyle name="40% - akcent 4 8" xfId="204" xr:uid="{00000000-0005-0000-0000-0000CB000000}"/>
    <cellStyle name="40% - akcent 4 9" xfId="205" xr:uid="{00000000-0005-0000-0000-0000CC000000}"/>
    <cellStyle name="40% - akcent 4 9 2" xfId="206" xr:uid="{00000000-0005-0000-0000-0000CD000000}"/>
    <cellStyle name="40% - akcent 4 9 3" xfId="207" xr:uid="{00000000-0005-0000-0000-0000CE000000}"/>
    <cellStyle name="40% - akcent 4_D_HEAT" xfId="208" xr:uid="{00000000-0005-0000-0000-0000CF000000}"/>
    <cellStyle name="40% - akcent 5" xfId="209" xr:uid="{00000000-0005-0000-0000-0000D0000000}"/>
    <cellStyle name="40% - akcent 5 10" xfId="210" xr:uid="{00000000-0005-0000-0000-0000D1000000}"/>
    <cellStyle name="40% - akcent 5 10 2" xfId="211" xr:uid="{00000000-0005-0000-0000-0000D2000000}"/>
    <cellStyle name="40% - akcent 5 10 3" xfId="212" xr:uid="{00000000-0005-0000-0000-0000D3000000}"/>
    <cellStyle name="40% - akcent 5 11" xfId="213" xr:uid="{00000000-0005-0000-0000-0000D4000000}"/>
    <cellStyle name="40% - akcent 5 12" xfId="214" xr:uid="{00000000-0005-0000-0000-0000D5000000}"/>
    <cellStyle name="40% - akcent 5 2" xfId="215" xr:uid="{00000000-0005-0000-0000-0000D6000000}"/>
    <cellStyle name="40% - akcent 5 3" xfId="216" xr:uid="{00000000-0005-0000-0000-0000D7000000}"/>
    <cellStyle name="40% - akcent 5 4" xfId="217" xr:uid="{00000000-0005-0000-0000-0000D8000000}"/>
    <cellStyle name="40% - akcent 5 5" xfId="218" xr:uid="{00000000-0005-0000-0000-0000D9000000}"/>
    <cellStyle name="40% - akcent 5 6" xfId="219" xr:uid="{00000000-0005-0000-0000-0000DA000000}"/>
    <cellStyle name="40% - akcent 5 7" xfId="220" xr:uid="{00000000-0005-0000-0000-0000DB000000}"/>
    <cellStyle name="40% - akcent 5 8" xfId="221" xr:uid="{00000000-0005-0000-0000-0000DC000000}"/>
    <cellStyle name="40% - akcent 5 9" xfId="222" xr:uid="{00000000-0005-0000-0000-0000DD000000}"/>
    <cellStyle name="40% - akcent 5 9 2" xfId="223" xr:uid="{00000000-0005-0000-0000-0000DE000000}"/>
    <cellStyle name="40% - akcent 5 9 3" xfId="224" xr:uid="{00000000-0005-0000-0000-0000DF000000}"/>
    <cellStyle name="40% - akcent 5_D_HEAT" xfId="225" xr:uid="{00000000-0005-0000-0000-0000E0000000}"/>
    <cellStyle name="40% - akcent 6" xfId="226" xr:uid="{00000000-0005-0000-0000-0000E1000000}"/>
    <cellStyle name="40% - akcent 6 10" xfId="227" xr:uid="{00000000-0005-0000-0000-0000E2000000}"/>
    <cellStyle name="40% - akcent 6 10 2" xfId="228" xr:uid="{00000000-0005-0000-0000-0000E3000000}"/>
    <cellStyle name="40% - akcent 6 10 3" xfId="229" xr:uid="{00000000-0005-0000-0000-0000E4000000}"/>
    <cellStyle name="40% - akcent 6 11" xfId="230" xr:uid="{00000000-0005-0000-0000-0000E5000000}"/>
    <cellStyle name="40% - akcent 6 12" xfId="231" xr:uid="{00000000-0005-0000-0000-0000E6000000}"/>
    <cellStyle name="40% - akcent 6 2" xfId="232" xr:uid="{00000000-0005-0000-0000-0000E7000000}"/>
    <cellStyle name="40% - akcent 6 3" xfId="233" xr:uid="{00000000-0005-0000-0000-0000E8000000}"/>
    <cellStyle name="40% - akcent 6 4" xfId="234" xr:uid="{00000000-0005-0000-0000-0000E9000000}"/>
    <cellStyle name="40% - akcent 6 5" xfId="235" xr:uid="{00000000-0005-0000-0000-0000EA000000}"/>
    <cellStyle name="40% - akcent 6 6" xfId="236" xr:uid="{00000000-0005-0000-0000-0000EB000000}"/>
    <cellStyle name="40% - akcent 6 7" xfId="237" xr:uid="{00000000-0005-0000-0000-0000EC000000}"/>
    <cellStyle name="40% - akcent 6 8" xfId="238" xr:uid="{00000000-0005-0000-0000-0000ED000000}"/>
    <cellStyle name="40% - akcent 6 9" xfId="239" xr:uid="{00000000-0005-0000-0000-0000EE000000}"/>
    <cellStyle name="40% - akcent 6 9 2" xfId="240" xr:uid="{00000000-0005-0000-0000-0000EF000000}"/>
    <cellStyle name="40% - akcent 6 9 3" xfId="241" xr:uid="{00000000-0005-0000-0000-0000F0000000}"/>
    <cellStyle name="40% - akcent 6_D_HEAT" xfId="242" xr:uid="{00000000-0005-0000-0000-0000F1000000}"/>
    <cellStyle name="5x indented GHG Textfiels" xfId="243" xr:uid="{00000000-0005-0000-0000-0000F2000000}"/>
    <cellStyle name="5x indented GHG Textfiels 2" xfId="244" xr:uid="{00000000-0005-0000-0000-0000F3000000}"/>
    <cellStyle name="60 % - Akzent1 2" xfId="245" xr:uid="{00000000-0005-0000-0000-0000F4000000}"/>
    <cellStyle name="60 % - Akzent2 2" xfId="246" xr:uid="{00000000-0005-0000-0000-0000F5000000}"/>
    <cellStyle name="60 % - Akzent3 2" xfId="247" xr:uid="{00000000-0005-0000-0000-0000F6000000}"/>
    <cellStyle name="60 % - Akzent4 2" xfId="248" xr:uid="{00000000-0005-0000-0000-0000F7000000}"/>
    <cellStyle name="60 % - Akzent5 2" xfId="249" xr:uid="{00000000-0005-0000-0000-0000F8000000}"/>
    <cellStyle name="60 % - Akzent6 2" xfId="250" xr:uid="{00000000-0005-0000-0000-0000F9000000}"/>
    <cellStyle name="60% - Accent1 2" xfId="251" xr:uid="{00000000-0005-0000-0000-0000FA000000}"/>
    <cellStyle name="60% - Accent1 3" xfId="252" xr:uid="{00000000-0005-0000-0000-0000FB000000}"/>
    <cellStyle name="60% - Accent2 2" xfId="253" xr:uid="{00000000-0005-0000-0000-0000FC000000}"/>
    <cellStyle name="60% - Accent2 3" xfId="254" xr:uid="{00000000-0005-0000-0000-0000FD000000}"/>
    <cellStyle name="60% - Accent3 2" xfId="255" xr:uid="{00000000-0005-0000-0000-0000FE000000}"/>
    <cellStyle name="60% - Accent3 3" xfId="256" xr:uid="{00000000-0005-0000-0000-0000FF000000}"/>
    <cellStyle name="60% - Accent4 2" xfId="257" xr:uid="{00000000-0005-0000-0000-000000010000}"/>
    <cellStyle name="60% - Accent4 3" xfId="258" xr:uid="{00000000-0005-0000-0000-000001010000}"/>
    <cellStyle name="60% - Accent5 2" xfId="259" xr:uid="{00000000-0005-0000-0000-000002010000}"/>
    <cellStyle name="60% - Accent5 3" xfId="260" xr:uid="{00000000-0005-0000-0000-000003010000}"/>
    <cellStyle name="60% - Accent6 2" xfId="261" xr:uid="{00000000-0005-0000-0000-000004010000}"/>
    <cellStyle name="60% - Accent6 3" xfId="262" xr:uid="{00000000-0005-0000-0000-000005010000}"/>
    <cellStyle name="60% - akcent 1" xfId="263" xr:uid="{00000000-0005-0000-0000-000006010000}"/>
    <cellStyle name="60% - akcent 1 10" xfId="264" xr:uid="{00000000-0005-0000-0000-000007010000}"/>
    <cellStyle name="60% - akcent 1 10 2" xfId="265" xr:uid="{00000000-0005-0000-0000-000008010000}"/>
    <cellStyle name="60% - akcent 1 10 3" xfId="266" xr:uid="{00000000-0005-0000-0000-000009010000}"/>
    <cellStyle name="60% - akcent 1 11" xfId="267" xr:uid="{00000000-0005-0000-0000-00000A010000}"/>
    <cellStyle name="60% - akcent 1 12" xfId="268" xr:uid="{00000000-0005-0000-0000-00000B010000}"/>
    <cellStyle name="60% - akcent 1 2" xfId="269" xr:uid="{00000000-0005-0000-0000-00000C010000}"/>
    <cellStyle name="60% - akcent 1 3" xfId="270" xr:uid="{00000000-0005-0000-0000-00000D010000}"/>
    <cellStyle name="60% - akcent 1 4" xfId="271" xr:uid="{00000000-0005-0000-0000-00000E010000}"/>
    <cellStyle name="60% - akcent 1 5" xfId="272" xr:uid="{00000000-0005-0000-0000-00000F010000}"/>
    <cellStyle name="60% - akcent 1 6" xfId="273" xr:uid="{00000000-0005-0000-0000-000010010000}"/>
    <cellStyle name="60% - akcent 1 7" xfId="274" xr:uid="{00000000-0005-0000-0000-000011010000}"/>
    <cellStyle name="60% - akcent 1 8" xfId="275" xr:uid="{00000000-0005-0000-0000-000012010000}"/>
    <cellStyle name="60% - akcent 1 9" xfId="276" xr:uid="{00000000-0005-0000-0000-000013010000}"/>
    <cellStyle name="60% - akcent 1 9 2" xfId="277" xr:uid="{00000000-0005-0000-0000-000014010000}"/>
    <cellStyle name="60% - akcent 1 9 3" xfId="278" xr:uid="{00000000-0005-0000-0000-000015010000}"/>
    <cellStyle name="60% - akcent 1_D_HEAT" xfId="279" xr:uid="{00000000-0005-0000-0000-000016010000}"/>
    <cellStyle name="60% - akcent 2" xfId="280" xr:uid="{00000000-0005-0000-0000-000017010000}"/>
    <cellStyle name="60% - akcent 2 10" xfId="281" xr:uid="{00000000-0005-0000-0000-000018010000}"/>
    <cellStyle name="60% - akcent 2 10 2" xfId="282" xr:uid="{00000000-0005-0000-0000-000019010000}"/>
    <cellStyle name="60% - akcent 2 10 3" xfId="283" xr:uid="{00000000-0005-0000-0000-00001A010000}"/>
    <cellStyle name="60% - akcent 2 11" xfId="284" xr:uid="{00000000-0005-0000-0000-00001B010000}"/>
    <cellStyle name="60% - akcent 2 12" xfId="285" xr:uid="{00000000-0005-0000-0000-00001C010000}"/>
    <cellStyle name="60% - akcent 2 2" xfId="286" xr:uid="{00000000-0005-0000-0000-00001D010000}"/>
    <cellStyle name="60% - akcent 2 3" xfId="287" xr:uid="{00000000-0005-0000-0000-00001E010000}"/>
    <cellStyle name="60% - akcent 2 4" xfId="288" xr:uid="{00000000-0005-0000-0000-00001F010000}"/>
    <cellStyle name="60% - akcent 2 5" xfId="289" xr:uid="{00000000-0005-0000-0000-000020010000}"/>
    <cellStyle name="60% - akcent 2 6" xfId="290" xr:uid="{00000000-0005-0000-0000-000021010000}"/>
    <cellStyle name="60% - akcent 2 7" xfId="291" xr:uid="{00000000-0005-0000-0000-000022010000}"/>
    <cellStyle name="60% - akcent 2 8" xfId="292" xr:uid="{00000000-0005-0000-0000-000023010000}"/>
    <cellStyle name="60% - akcent 2 9" xfId="293" xr:uid="{00000000-0005-0000-0000-000024010000}"/>
    <cellStyle name="60% - akcent 2 9 2" xfId="294" xr:uid="{00000000-0005-0000-0000-000025010000}"/>
    <cellStyle name="60% - akcent 2 9 3" xfId="295" xr:uid="{00000000-0005-0000-0000-000026010000}"/>
    <cellStyle name="60% - akcent 2_D_HEAT" xfId="296" xr:uid="{00000000-0005-0000-0000-000027010000}"/>
    <cellStyle name="60% - akcent 3" xfId="297" xr:uid="{00000000-0005-0000-0000-000028010000}"/>
    <cellStyle name="60% - akcent 3 10" xfId="298" xr:uid="{00000000-0005-0000-0000-000029010000}"/>
    <cellStyle name="60% - akcent 3 10 2" xfId="299" xr:uid="{00000000-0005-0000-0000-00002A010000}"/>
    <cellStyle name="60% - akcent 3 10 3" xfId="300" xr:uid="{00000000-0005-0000-0000-00002B010000}"/>
    <cellStyle name="60% - akcent 3 11" xfId="301" xr:uid="{00000000-0005-0000-0000-00002C010000}"/>
    <cellStyle name="60% - akcent 3 12" xfId="302" xr:uid="{00000000-0005-0000-0000-00002D010000}"/>
    <cellStyle name="60% - akcent 3 2" xfId="303" xr:uid="{00000000-0005-0000-0000-00002E010000}"/>
    <cellStyle name="60% - akcent 3 3" xfId="304" xr:uid="{00000000-0005-0000-0000-00002F010000}"/>
    <cellStyle name="60% - akcent 3 4" xfId="305" xr:uid="{00000000-0005-0000-0000-000030010000}"/>
    <cellStyle name="60% - akcent 3 5" xfId="306" xr:uid="{00000000-0005-0000-0000-000031010000}"/>
    <cellStyle name="60% - akcent 3 6" xfId="307" xr:uid="{00000000-0005-0000-0000-000032010000}"/>
    <cellStyle name="60% - akcent 3 7" xfId="308" xr:uid="{00000000-0005-0000-0000-000033010000}"/>
    <cellStyle name="60% - akcent 3 8" xfId="309" xr:uid="{00000000-0005-0000-0000-000034010000}"/>
    <cellStyle name="60% - akcent 3 9" xfId="310" xr:uid="{00000000-0005-0000-0000-000035010000}"/>
    <cellStyle name="60% - akcent 3 9 2" xfId="311" xr:uid="{00000000-0005-0000-0000-000036010000}"/>
    <cellStyle name="60% - akcent 3 9 3" xfId="312" xr:uid="{00000000-0005-0000-0000-000037010000}"/>
    <cellStyle name="60% - akcent 3_D_HEAT" xfId="313" xr:uid="{00000000-0005-0000-0000-000038010000}"/>
    <cellStyle name="60% - akcent 4" xfId="314" xr:uid="{00000000-0005-0000-0000-000039010000}"/>
    <cellStyle name="60% - akcent 4 10" xfId="315" xr:uid="{00000000-0005-0000-0000-00003A010000}"/>
    <cellStyle name="60% - akcent 4 10 2" xfId="316" xr:uid="{00000000-0005-0000-0000-00003B010000}"/>
    <cellStyle name="60% - akcent 4 10 3" xfId="317" xr:uid="{00000000-0005-0000-0000-00003C010000}"/>
    <cellStyle name="60% - akcent 4 11" xfId="318" xr:uid="{00000000-0005-0000-0000-00003D010000}"/>
    <cellStyle name="60% - akcent 4 12" xfId="319" xr:uid="{00000000-0005-0000-0000-00003E010000}"/>
    <cellStyle name="60% - akcent 4 13" xfId="320" xr:uid="{00000000-0005-0000-0000-00003F010000}"/>
    <cellStyle name="60% - akcent 4 2" xfId="321" xr:uid="{00000000-0005-0000-0000-000040010000}"/>
    <cellStyle name="60% - akcent 4 3" xfId="322" xr:uid="{00000000-0005-0000-0000-000041010000}"/>
    <cellStyle name="60% - akcent 4 4" xfId="323" xr:uid="{00000000-0005-0000-0000-000042010000}"/>
    <cellStyle name="60% - akcent 4 5" xfId="324" xr:uid="{00000000-0005-0000-0000-000043010000}"/>
    <cellStyle name="60% - akcent 4 6" xfId="325" xr:uid="{00000000-0005-0000-0000-000044010000}"/>
    <cellStyle name="60% - akcent 4 7" xfId="326" xr:uid="{00000000-0005-0000-0000-000045010000}"/>
    <cellStyle name="60% - akcent 4 8" xfId="327" xr:uid="{00000000-0005-0000-0000-000046010000}"/>
    <cellStyle name="60% - akcent 4 9" xfId="328" xr:uid="{00000000-0005-0000-0000-000047010000}"/>
    <cellStyle name="60% - akcent 4 9 2" xfId="329" xr:uid="{00000000-0005-0000-0000-000048010000}"/>
    <cellStyle name="60% - akcent 4 9 3" xfId="330" xr:uid="{00000000-0005-0000-0000-000049010000}"/>
    <cellStyle name="60% - akcent 4_D_HEAT" xfId="331" xr:uid="{00000000-0005-0000-0000-00004A010000}"/>
    <cellStyle name="60% - akcent 5" xfId="332" xr:uid="{00000000-0005-0000-0000-00004B010000}"/>
    <cellStyle name="60% - akcent 5 10" xfId="333" xr:uid="{00000000-0005-0000-0000-00004C010000}"/>
    <cellStyle name="60% - akcent 5 10 2" xfId="334" xr:uid="{00000000-0005-0000-0000-00004D010000}"/>
    <cellStyle name="60% - akcent 5 10 3" xfId="335" xr:uid="{00000000-0005-0000-0000-00004E010000}"/>
    <cellStyle name="60% - akcent 5 11" xfId="336" xr:uid="{00000000-0005-0000-0000-00004F010000}"/>
    <cellStyle name="60% - akcent 5 12" xfId="337" xr:uid="{00000000-0005-0000-0000-000050010000}"/>
    <cellStyle name="60% - akcent 5 2" xfId="338" xr:uid="{00000000-0005-0000-0000-000051010000}"/>
    <cellStyle name="60% - akcent 5 3" xfId="339" xr:uid="{00000000-0005-0000-0000-000052010000}"/>
    <cellStyle name="60% - akcent 5 4" xfId="340" xr:uid="{00000000-0005-0000-0000-000053010000}"/>
    <cellStyle name="60% - akcent 5 5" xfId="341" xr:uid="{00000000-0005-0000-0000-000054010000}"/>
    <cellStyle name="60% - akcent 5 6" xfId="342" xr:uid="{00000000-0005-0000-0000-000055010000}"/>
    <cellStyle name="60% - akcent 5 7" xfId="343" xr:uid="{00000000-0005-0000-0000-000056010000}"/>
    <cellStyle name="60% - akcent 5 8" xfId="344" xr:uid="{00000000-0005-0000-0000-000057010000}"/>
    <cellStyle name="60% - akcent 5 9" xfId="345" xr:uid="{00000000-0005-0000-0000-000058010000}"/>
    <cellStyle name="60% - akcent 5 9 2" xfId="346" xr:uid="{00000000-0005-0000-0000-000059010000}"/>
    <cellStyle name="60% - akcent 5 9 3" xfId="347" xr:uid="{00000000-0005-0000-0000-00005A010000}"/>
    <cellStyle name="60% - akcent 5_D_HEAT" xfId="348" xr:uid="{00000000-0005-0000-0000-00005B010000}"/>
    <cellStyle name="60% - akcent 6" xfId="349" xr:uid="{00000000-0005-0000-0000-00005C010000}"/>
    <cellStyle name="60% - akcent 6 10" xfId="350" xr:uid="{00000000-0005-0000-0000-00005D010000}"/>
    <cellStyle name="60% - akcent 6 10 2" xfId="351" xr:uid="{00000000-0005-0000-0000-00005E010000}"/>
    <cellStyle name="60% - akcent 6 10 3" xfId="352" xr:uid="{00000000-0005-0000-0000-00005F010000}"/>
    <cellStyle name="60% - akcent 6 11" xfId="353" xr:uid="{00000000-0005-0000-0000-000060010000}"/>
    <cellStyle name="60% - akcent 6 12" xfId="354" xr:uid="{00000000-0005-0000-0000-000061010000}"/>
    <cellStyle name="60% - akcent 6 2" xfId="355" xr:uid="{00000000-0005-0000-0000-000062010000}"/>
    <cellStyle name="60% - akcent 6 3" xfId="356" xr:uid="{00000000-0005-0000-0000-000063010000}"/>
    <cellStyle name="60% - akcent 6 4" xfId="357" xr:uid="{00000000-0005-0000-0000-000064010000}"/>
    <cellStyle name="60% - akcent 6 5" xfId="358" xr:uid="{00000000-0005-0000-0000-000065010000}"/>
    <cellStyle name="60% - akcent 6 6" xfId="359" xr:uid="{00000000-0005-0000-0000-000066010000}"/>
    <cellStyle name="60% - akcent 6 7" xfId="360" xr:uid="{00000000-0005-0000-0000-000067010000}"/>
    <cellStyle name="60% - akcent 6 8" xfId="361" xr:uid="{00000000-0005-0000-0000-000068010000}"/>
    <cellStyle name="60% - akcent 6 9" xfId="362" xr:uid="{00000000-0005-0000-0000-000069010000}"/>
    <cellStyle name="60% - akcent 6 9 2" xfId="363" xr:uid="{00000000-0005-0000-0000-00006A010000}"/>
    <cellStyle name="60% - akcent 6 9 3" xfId="364" xr:uid="{00000000-0005-0000-0000-00006B010000}"/>
    <cellStyle name="60% - akcent 6_D_HEAT" xfId="365" xr:uid="{00000000-0005-0000-0000-00006C010000}"/>
    <cellStyle name="Accent1 2" xfId="366" xr:uid="{00000000-0005-0000-0000-00006D010000}"/>
    <cellStyle name="Accent1 3" xfId="367" xr:uid="{00000000-0005-0000-0000-00006E010000}"/>
    <cellStyle name="Accent2 2" xfId="368" xr:uid="{00000000-0005-0000-0000-00006F010000}"/>
    <cellStyle name="Accent2 3" xfId="369" xr:uid="{00000000-0005-0000-0000-000070010000}"/>
    <cellStyle name="Accent3 2" xfId="370" xr:uid="{00000000-0005-0000-0000-000071010000}"/>
    <cellStyle name="Accent3 3" xfId="371" xr:uid="{00000000-0005-0000-0000-000072010000}"/>
    <cellStyle name="Accent4 2" xfId="372" xr:uid="{00000000-0005-0000-0000-000073010000}"/>
    <cellStyle name="Accent4 3" xfId="373" xr:uid="{00000000-0005-0000-0000-000074010000}"/>
    <cellStyle name="Accent5 2" xfId="374" xr:uid="{00000000-0005-0000-0000-000075010000}"/>
    <cellStyle name="Accent5 3" xfId="375" xr:uid="{00000000-0005-0000-0000-000076010000}"/>
    <cellStyle name="Accent6 2" xfId="376" xr:uid="{00000000-0005-0000-0000-000077010000}"/>
    <cellStyle name="Accent6 3" xfId="377" xr:uid="{00000000-0005-0000-0000-000078010000}"/>
    <cellStyle name="Actual Date" xfId="378" xr:uid="{00000000-0005-0000-0000-000079010000}"/>
    <cellStyle name="Akcent 1 10" xfId="379" xr:uid="{00000000-0005-0000-0000-00007A010000}"/>
    <cellStyle name="Akcent 1 10 2" xfId="380" xr:uid="{00000000-0005-0000-0000-00007B010000}"/>
    <cellStyle name="Akcent 1 10 3" xfId="381" xr:uid="{00000000-0005-0000-0000-00007C010000}"/>
    <cellStyle name="Akcent 1 11" xfId="382" xr:uid="{00000000-0005-0000-0000-00007D010000}"/>
    <cellStyle name="Akcent 1 12" xfId="383" xr:uid="{00000000-0005-0000-0000-00007E010000}"/>
    <cellStyle name="Akcent 1 2" xfId="384" xr:uid="{00000000-0005-0000-0000-00007F010000}"/>
    <cellStyle name="Akcent 1 3" xfId="385" xr:uid="{00000000-0005-0000-0000-000080010000}"/>
    <cellStyle name="Akcent 1 4" xfId="386" xr:uid="{00000000-0005-0000-0000-000081010000}"/>
    <cellStyle name="Akcent 1 5" xfId="387" xr:uid="{00000000-0005-0000-0000-000082010000}"/>
    <cellStyle name="Akcent 1 6" xfId="388" xr:uid="{00000000-0005-0000-0000-000083010000}"/>
    <cellStyle name="Akcent 1 7" xfId="389" xr:uid="{00000000-0005-0000-0000-000084010000}"/>
    <cellStyle name="Akcent 1 8" xfId="390" xr:uid="{00000000-0005-0000-0000-000085010000}"/>
    <cellStyle name="Akcent 1 9" xfId="391" xr:uid="{00000000-0005-0000-0000-000086010000}"/>
    <cellStyle name="Akcent 1 9 2" xfId="392" xr:uid="{00000000-0005-0000-0000-000087010000}"/>
    <cellStyle name="Akcent 1 9 3" xfId="393" xr:uid="{00000000-0005-0000-0000-000088010000}"/>
    <cellStyle name="Akcent 2 10" xfId="394" xr:uid="{00000000-0005-0000-0000-000089010000}"/>
    <cellStyle name="Akcent 2 10 2" xfId="395" xr:uid="{00000000-0005-0000-0000-00008A010000}"/>
    <cellStyle name="Akcent 2 10 3" xfId="396" xr:uid="{00000000-0005-0000-0000-00008B010000}"/>
    <cellStyle name="Akcent 2 11" xfId="397" xr:uid="{00000000-0005-0000-0000-00008C010000}"/>
    <cellStyle name="Akcent 2 12" xfId="398" xr:uid="{00000000-0005-0000-0000-00008D010000}"/>
    <cellStyle name="Akcent 2 2" xfId="399" xr:uid="{00000000-0005-0000-0000-00008E010000}"/>
    <cellStyle name="Akcent 2 3" xfId="400" xr:uid="{00000000-0005-0000-0000-00008F010000}"/>
    <cellStyle name="Akcent 2 4" xfId="401" xr:uid="{00000000-0005-0000-0000-000090010000}"/>
    <cellStyle name="Akcent 2 5" xfId="402" xr:uid="{00000000-0005-0000-0000-000091010000}"/>
    <cellStyle name="Akcent 2 6" xfId="403" xr:uid="{00000000-0005-0000-0000-000092010000}"/>
    <cellStyle name="Akcent 2 7" xfId="404" xr:uid="{00000000-0005-0000-0000-000093010000}"/>
    <cellStyle name="Akcent 2 8" xfId="405" xr:uid="{00000000-0005-0000-0000-000094010000}"/>
    <cellStyle name="Akcent 2 9" xfId="406" xr:uid="{00000000-0005-0000-0000-000095010000}"/>
    <cellStyle name="Akcent 2 9 2" xfId="407" xr:uid="{00000000-0005-0000-0000-000096010000}"/>
    <cellStyle name="Akcent 2 9 3" xfId="408" xr:uid="{00000000-0005-0000-0000-000097010000}"/>
    <cellStyle name="Akcent 3 10" xfId="409" xr:uid="{00000000-0005-0000-0000-000098010000}"/>
    <cellStyle name="Akcent 3 10 2" xfId="410" xr:uid="{00000000-0005-0000-0000-000099010000}"/>
    <cellStyle name="Akcent 3 10 3" xfId="411" xr:uid="{00000000-0005-0000-0000-00009A010000}"/>
    <cellStyle name="Akcent 3 11" xfId="412" xr:uid="{00000000-0005-0000-0000-00009B010000}"/>
    <cellStyle name="Akcent 3 12" xfId="413" xr:uid="{00000000-0005-0000-0000-00009C010000}"/>
    <cellStyle name="Akcent 3 2" xfId="414" xr:uid="{00000000-0005-0000-0000-00009D010000}"/>
    <cellStyle name="Akcent 3 3" xfId="415" xr:uid="{00000000-0005-0000-0000-00009E010000}"/>
    <cellStyle name="Akcent 3 4" xfId="416" xr:uid="{00000000-0005-0000-0000-00009F010000}"/>
    <cellStyle name="Akcent 3 5" xfId="417" xr:uid="{00000000-0005-0000-0000-0000A0010000}"/>
    <cellStyle name="Akcent 3 6" xfId="418" xr:uid="{00000000-0005-0000-0000-0000A1010000}"/>
    <cellStyle name="Akcent 3 7" xfId="419" xr:uid="{00000000-0005-0000-0000-0000A2010000}"/>
    <cellStyle name="Akcent 3 8" xfId="420" xr:uid="{00000000-0005-0000-0000-0000A3010000}"/>
    <cellStyle name="Akcent 3 9" xfId="421" xr:uid="{00000000-0005-0000-0000-0000A4010000}"/>
    <cellStyle name="Akcent 3 9 2" xfId="422" xr:uid="{00000000-0005-0000-0000-0000A5010000}"/>
    <cellStyle name="Akcent 3 9 3" xfId="423" xr:uid="{00000000-0005-0000-0000-0000A6010000}"/>
    <cellStyle name="Akcent 4 10" xfId="424" xr:uid="{00000000-0005-0000-0000-0000A7010000}"/>
    <cellStyle name="Akcent 4 10 2" xfId="425" xr:uid="{00000000-0005-0000-0000-0000A8010000}"/>
    <cellStyle name="Akcent 4 10 3" xfId="426" xr:uid="{00000000-0005-0000-0000-0000A9010000}"/>
    <cellStyle name="Akcent 4 11" xfId="427" xr:uid="{00000000-0005-0000-0000-0000AA010000}"/>
    <cellStyle name="Akcent 4 12" xfId="428" xr:uid="{00000000-0005-0000-0000-0000AB010000}"/>
    <cellStyle name="Akcent 4 2" xfId="429" xr:uid="{00000000-0005-0000-0000-0000AC010000}"/>
    <cellStyle name="Akcent 4 3" xfId="430" xr:uid="{00000000-0005-0000-0000-0000AD010000}"/>
    <cellStyle name="Akcent 4 4" xfId="431" xr:uid="{00000000-0005-0000-0000-0000AE010000}"/>
    <cellStyle name="Akcent 4 5" xfId="432" xr:uid="{00000000-0005-0000-0000-0000AF010000}"/>
    <cellStyle name="Akcent 4 6" xfId="433" xr:uid="{00000000-0005-0000-0000-0000B0010000}"/>
    <cellStyle name="Akcent 4 7" xfId="434" xr:uid="{00000000-0005-0000-0000-0000B1010000}"/>
    <cellStyle name="Akcent 4 8" xfId="435" xr:uid="{00000000-0005-0000-0000-0000B2010000}"/>
    <cellStyle name="Akcent 4 9" xfId="436" xr:uid="{00000000-0005-0000-0000-0000B3010000}"/>
    <cellStyle name="Akcent 4 9 2" xfId="437" xr:uid="{00000000-0005-0000-0000-0000B4010000}"/>
    <cellStyle name="Akcent 4 9 3" xfId="438" xr:uid="{00000000-0005-0000-0000-0000B5010000}"/>
    <cellStyle name="Akcent 5 10" xfId="439" xr:uid="{00000000-0005-0000-0000-0000B6010000}"/>
    <cellStyle name="Akcent 5 10 2" xfId="440" xr:uid="{00000000-0005-0000-0000-0000B7010000}"/>
    <cellStyle name="Akcent 5 10 3" xfId="441" xr:uid="{00000000-0005-0000-0000-0000B8010000}"/>
    <cellStyle name="Akcent 5 11" xfId="442" xr:uid="{00000000-0005-0000-0000-0000B9010000}"/>
    <cellStyle name="Akcent 5 12" xfId="443" xr:uid="{00000000-0005-0000-0000-0000BA010000}"/>
    <cellStyle name="Akcent 5 2" xfId="444" xr:uid="{00000000-0005-0000-0000-0000BB010000}"/>
    <cellStyle name="Akcent 5 3" xfId="445" xr:uid="{00000000-0005-0000-0000-0000BC010000}"/>
    <cellStyle name="Akcent 5 4" xfId="446" xr:uid="{00000000-0005-0000-0000-0000BD010000}"/>
    <cellStyle name="Akcent 5 5" xfId="447" xr:uid="{00000000-0005-0000-0000-0000BE010000}"/>
    <cellStyle name="Akcent 5 6" xfId="448" xr:uid="{00000000-0005-0000-0000-0000BF010000}"/>
    <cellStyle name="Akcent 5 7" xfId="449" xr:uid="{00000000-0005-0000-0000-0000C0010000}"/>
    <cellStyle name="Akcent 5 8" xfId="450" xr:uid="{00000000-0005-0000-0000-0000C1010000}"/>
    <cellStyle name="Akcent 5 9" xfId="451" xr:uid="{00000000-0005-0000-0000-0000C2010000}"/>
    <cellStyle name="Akcent 5 9 2" xfId="452" xr:uid="{00000000-0005-0000-0000-0000C3010000}"/>
    <cellStyle name="Akcent 5 9 3" xfId="453" xr:uid="{00000000-0005-0000-0000-0000C4010000}"/>
    <cellStyle name="Akcent 6 10" xfId="454" xr:uid="{00000000-0005-0000-0000-0000C5010000}"/>
    <cellStyle name="Akcent 6 10 2" xfId="455" xr:uid="{00000000-0005-0000-0000-0000C6010000}"/>
    <cellStyle name="Akcent 6 10 3" xfId="456" xr:uid="{00000000-0005-0000-0000-0000C7010000}"/>
    <cellStyle name="Akcent 6 11" xfId="457" xr:uid="{00000000-0005-0000-0000-0000C8010000}"/>
    <cellStyle name="Akcent 6 12" xfId="458" xr:uid="{00000000-0005-0000-0000-0000C9010000}"/>
    <cellStyle name="Akcent 6 2" xfId="459" xr:uid="{00000000-0005-0000-0000-0000CA010000}"/>
    <cellStyle name="Akcent 6 3" xfId="460" xr:uid="{00000000-0005-0000-0000-0000CB010000}"/>
    <cellStyle name="Akcent 6 4" xfId="461" xr:uid="{00000000-0005-0000-0000-0000CC010000}"/>
    <cellStyle name="Akcent 6 5" xfId="462" xr:uid="{00000000-0005-0000-0000-0000CD010000}"/>
    <cellStyle name="Akcent 6 6" xfId="463" xr:uid="{00000000-0005-0000-0000-0000CE010000}"/>
    <cellStyle name="Akcent 6 7" xfId="464" xr:uid="{00000000-0005-0000-0000-0000CF010000}"/>
    <cellStyle name="Akcent 6 8" xfId="465" xr:uid="{00000000-0005-0000-0000-0000D0010000}"/>
    <cellStyle name="Akcent 6 9" xfId="466" xr:uid="{00000000-0005-0000-0000-0000D1010000}"/>
    <cellStyle name="Akcent 6 9 2" xfId="467" xr:uid="{00000000-0005-0000-0000-0000D2010000}"/>
    <cellStyle name="Akcent 6 9 3" xfId="468" xr:uid="{00000000-0005-0000-0000-0000D3010000}"/>
    <cellStyle name="Akzent1 2" xfId="469" xr:uid="{00000000-0005-0000-0000-0000D4010000}"/>
    <cellStyle name="Akzent2 2" xfId="470" xr:uid="{00000000-0005-0000-0000-0000D5010000}"/>
    <cellStyle name="Akzent3 2" xfId="471" xr:uid="{00000000-0005-0000-0000-0000D6010000}"/>
    <cellStyle name="Akzent4 2" xfId="472" xr:uid="{00000000-0005-0000-0000-0000D7010000}"/>
    <cellStyle name="Akzent5 2" xfId="473" xr:uid="{00000000-0005-0000-0000-0000D8010000}"/>
    <cellStyle name="Akzent6 2" xfId="474" xr:uid="{00000000-0005-0000-0000-0000D9010000}"/>
    <cellStyle name="Ausgabe 2" xfId="475" xr:uid="{00000000-0005-0000-0000-0000DA010000}"/>
    <cellStyle name="Bad 2" xfId="476" xr:uid="{00000000-0005-0000-0000-0000DB010000}"/>
    <cellStyle name="Bad 3" xfId="477" xr:uid="{00000000-0005-0000-0000-0000DC010000}"/>
    <cellStyle name="Berechnung 2" xfId="478" xr:uid="{00000000-0005-0000-0000-0000DD010000}"/>
    <cellStyle name="Calculation 2" xfId="479" xr:uid="{00000000-0005-0000-0000-0000DE010000}"/>
    <cellStyle name="Calculation 3" xfId="480" xr:uid="{00000000-0005-0000-0000-0000DF010000}"/>
    <cellStyle name="Check Cell 2" xfId="481" xr:uid="{00000000-0005-0000-0000-0000E0010000}"/>
    <cellStyle name="Check Cell 3" xfId="482" xr:uid="{00000000-0005-0000-0000-0000E1010000}"/>
    <cellStyle name="ColLevel_" xfId="483" xr:uid="{00000000-0005-0000-0000-0000E2010000}"/>
    <cellStyle name="Comma0" xfId="484" xr:uid="{00000000-0005-0000-0000-0000E3010000}"/>
    <cellStyle name="Comma0 - Style1" xfId="485" xr:uid="{00000000-0005-0000-0000-0000E4010000}"/>
    <cellStyle name="Comma0 - Style2" xfId="486" xr:uid="{00000000-0005-0000-0000-0000E5010000}"/>
    <cellStyle name="Comma0_Input" xfId="487" xr:uid="{00000000-0005-0000-0000-0000E6010000}"/>
    <cellStyle name="Currency0" xfId="488" xr:uid="{00000000-0005-0000-0000-0000E7010000}"/>
    <cellStyle name="Dane wejściowe" xfId="489" xr:uid="{00000000-0005-0000-0000-0000E8010000}"/>
    <cellStyle name="Dane wejściowe 10" xfId="490" xr:uid="{00000000-0005-0000-0000-0000E9010000}"/>
    <cellStyle name="Dane wejściowe 10 2" xfId="491" xr:uid="{00000000-0005-0000-0000-0000EA010000}"/>
    <cellStyle name="Dane wejściowe 10 3" xfId="492" xr:uid="{00000000-0005-0000-0000-0000EB010000}"/>
    <cellStyle name="Dane wejściowe 11" xfId="493" xr:uid="{00000000-0005-0000-0000-0000EC010000}"/>
    <cellStyle name="Dane wejściowe 12" xfId="494" xr:uid="{00000000-0005-0000-0000-0000ED010000}"/>
    <cellStyle name="Dane wejściowe 2" xfId="495" xr:uid="{00000000-0005-0000-0000-0000EE010000}"/>
    <cellStyle name="Dane wejściowe 3" xfId="496" xr:uid="{00000000-0005-0000-0000-0000EF010000}"/>
    <cellStyle name="Dane wejściowe 4" xfId="497" xr:uid="{00000000-0005-0000-0000-0000F0010000}"/>
    <cellStyle name="Dane wejściowe 5" xfId="498" xr:uid="{00000000-0005-0000-0000-0000F1010000}"/>
    <cellStyle name="Dane wejściowe 6" xfId="499" xr:uid="{00000000-0005-0000-0000-0000F2010000}"/>
    <cellStyle name="Dane wejściowe 7" xfId="500" xr:uid="{00000000-0005-0000-0000-0000F3010000}"/>
    <cellStyle name="Dane wejściowe 8" xfId="501" xr:uid="{00000000-0005-0000-0000-0000F4010000}"/>
    <cellStyle name="Dane wejściowe 9" xfId="502" xr:uid="{00000000-0005-0000-0000-0000F5010000}"/>
    <cellStyle name="Dane wejściowe 9 2" xfId="503" xr:uid="{00000000-0005-0000-0000-0000F6010000}"/>
    <cellStyle name="Dane wejściowe 9 3" xfId="504" xr:uid="{00000000-0005-0000-0000-0000F7010000}"/>
    <cellStyle name="Dane wejściowe_D_HEAT" xfId="505" xr:uid="{00000000-0005-0000-0000-0000F8010000}"/>
    <cellStyle name="Dane wyjściowe" xfId="506" xr:uid="{00000000-0005-0000-0000-0000F9010000}"/>
    <cellStyle name="Dane wyjściowe 10" xfId="507" xr:uid="{00000000-0005-0000-0000-0000FA010000}"/>
    <cellStyle name="Dane wyjściowe 10 2" xfId="508" xr:uid="{00000000-0005-0000-0000-0000FB010000}"/>
    <cellStyle name="Dane wyjściowe 10 3" xfId="509" xr:uid="{00000000-0005-0000-0000-0000FC010000}"/>
    <cellStyle name="Dane wyjściowe 11" xfId="510" xr:uid="{00000000-0005-0000-0000-0000FD010000}"/>
    <cellStyle name="Dane wyjściowe 12" xfId="511" xr:uid="{00000000-0005-0000-0000-0000FE010000}"/>
    <cellStyle name="Dane wyjściowe 2" xfId="512" xr:uid="{00000000-0005-0000-0000-0000FF010000}"/>
    <cellStyle name="Dane wyjściowe 3" xfId="513" xr:uid="{00000000-0005-0000-0000-000000020000}"/>
    <cellStyle name="Dane wyjściowe 4" xfId="514" xr:uid="{00000000-0005-0000-0000-000001020000}"/>
    <cellStyle name="Dane wyjściowe 5" xfId="515" xr:uid="{00000000-0005-0000-0000-000002020000}"/>
    <cellStyle name="Dane wyjściowe 6" xfId="516" xr:uid="{00000000-0005-0000-0000-000003020000}"/>
    <cellStyle name="Dane wyjściowe 7" xfId="517" xr:uid="{00000000-0005-0000-0000-000004020000}"/>
    <cellStyle name="Dane wyjściowe 8" xfId="518" xr:uid="{00000000-0005-0000-0000-000005020000}"/>
    <cellStyle name="Dane wyjściowe 9" xfId="519" xr:uid="{00000000-0005-0000-0000-000006020000}"/>
    <cellStyle name="Dane wyjściowe 9 2" xfId="520" xr:uid="{00000000-0005-0000-0000-000007020000}"/>
    <cellStyle name="Dane wyjściowe 9 3" xfId="521" xr:uid="{00000000-0005-0000-0000-000008020000}"/>
    <cellStyle name="Dane wyjściowe_D_HEAT" xfId="522" xr:uid="{00000000-0005-0000-0000-000009020000}"/>
    <cellStyle name="Date" xfId="523" xr:uid="{00000000-0005-0000-0000-00000A020000}"/>
    <cellStyle name="DateTime" xfId="524" xr:uid="{00000000-0005-0000-0000-00000B020000}"/>
    <cellStyle name="Dezimal [0] 2" xfId="525" xr:uid="{00000000-0005-0000-0000-00000C020000}"/>
    <cellStyle name="Dezimal [0] 2 2" xfId="526" xr:uid="{00000000-0005-0000-0000-00000D020000}"/>
    <cellStyle name="Dezimal [0] 2 3" xfId="1245" xr:uid="{F0068CCC-E9D0-4F09-BE01-035EAB32FD50}"/>
    <cellStyle name="Dezimal 2" xfId="527" xr:uid="{00000000-0005-0000-0000-00000E020000}"/>
    <cellStyle name="Dezimal 3" xfId="528" xr:uid="{00000000-0005-0000-0000-00000F020000}"/>
    <cellStyle name="Dezimal 3 2" xfId="529" xr:uid="{00000000-0005-0000-0000-000010020000}"/>
    <cellStyle name="Dezimal_Results_Pan_EU_OLGA_NUC" xfId="530" xr:uid="{00000000-0005-0000-0000-000011020000}"/>
    <cellStyle name="Dobre" xfId="531" xr:uid="{00000000-0005-0000-0000-000012020000}"/>
    <cellStyle name="Dobre 10" xfId="532" xr:uid="{00000000-0005-0000-0000-000013020000}"/>
    <cellStyle name="Dobre 10 2" xfId="533" xr:uid="{00000000-0005-0000-0000-000014020000}"/>
    <cellStyle name="Dobre 10 3" xfId="534" xr:uid="{00000000-0005-0000-0000-000015020000}"/>
    <cellStyle name="Dobre 11" xfId="535" xr:uid="{00000000-0005-0000-0000-000016020000}"/>
    <cellStyle name="Dobre 12" xfId="536" xr:uid="{00000000-0005-0000-0000-000017020000}"/>
    <cellStyle name="Dobre 13" xfId="537" xr:uid="{00000000-0005-0000-0000-000018020000}"/>
    <cellStyle name="Dobre 2" xfId="538" xr:uid="{00000000-0005-0000-0000-000019020000}"/>
    <cellStyle name="Dobre 3" xfId="539" xr:uid="{00000000-0005-0000-0000-00001A020000}"/>
    <cellStyle name="Dobre 4" xfId="540" xr:uid="{00000000-0005-0000-0000-00001B020000}"/>
    <cellStyle name="Dobre 5" xfId="541" xr:uid="{00000000-0005-0000-0000-00001C020000}"/>
    <cellStyle name="Dobre 6" xfId="542" xr:uid="{00000000-0005-0000-0000-00001D020000}"/>
    <cellStyle name="Dobre 7" xfId="543" xr:uid="{00000000-0005-0000-0000-00001E020000}"/>
    <cellStyle name="Dobre 8" xfId="544" xr:uid="{00000000-0005-0000-0000-00001F020000}"/>
    <cellStyle name="Dobre 9" xfId="545" xr:uid="{00000000-0005-0000-0000-000020020000}"/>
    <cellStyle name="Dobre 9 2" xfId="546" xr:uid="{00000000-0005-0000-0000-000021020000}"/>
    <cellStyle name="Dobre 9 3" xfId="547" xr:uid="{00000000-0005-0000-0000-000022020000}"/>
    <cellStyle name="Dobre_D_HEAT" xfId="548" xr:uid="{00000000-0005-0000-0000-000023020000}"/>
    <cellStyle name="Eingabe 2" xfId="549" xr:uid="{00000000-0005-0000-0000-000024020000}"/>
    <cellStyle name="Ergebnis 2" xfId="550" xr:uid="{00000000-0005-0000-0000-000025020000}"/>
    <cellStyle name="Erklärender Text 2" xfId="551" xr:uid="{00000000-0005-0000-0000-000026020000}"/>
    <cellStyle name="Euro" xfId="552" xr:uid="{00000000-0005-0000-0000-000027020000}"/>
    <cellStyle name="Euro 2" xfId="553" xr:uid="{00000000-0005-0000-0000-000028020000}"/>
    <cellStyle name="Euro 2 2" xfId="554" xr:uid="{00000000-0005-0000-0000-000029020000}"/>
    <cellStyle name="Euro 2 3" xfId="555" xr:uid="{00000000-0005-0000-0000-00002A020000}"/>
    <cellStyle name="Euro 3" xfId="556" xr:uid="{00000000-0005-0000-0000-00002B020000}"/>
    <cellStyle name="Euro 3 2" xfId="557" xr:uid="{00000000-0005-0000-0000-00002C020000}"/>
    <cellStyle name="Euro 3 3" xfId="558" xr:uid="{00000000-0005-0000-0000-00002D020000}"/>
    <cellStyle name="Euro 4" xfId="559" xr:uid="{00000000-0005-0000-0000-00002E020000}"/>
    <cellStyle name="Euro_Sheet4" xfId="560" xr:uid="{00000000-0005-0000-0000-00002F020000}"/>
    <cellStyle name="Explanatory Text 2" xfId="561" xr:uid="{00000000-0005-0000-0000-000030020000}"/>
    <cellStyle name="Explanatory Text 3" xfId="562" xr:uid="{00000000-0005-0000-0000-000031020000}"/>
    <cellStyle name="Fixed" xfId="563" xr:uid="{00000000-0005-0000-0000-000032020000}"/>
    <cellStyle name="Fixed1 - Style1" xfId="564" xr:uid="{00000000-0005-0000-0000-000033020000}"/>
    <cellStyle name="Good 2" xfId="565" xr:uid="{00000000-0005-0000-0000-000034020000}"/>
    <cellStyle name="Good 3" xfId="566" xr:uid="{00000000-0005-0000-0000-000035020000}"/>
    <cellStyle name="Grey" xfId="567" xr:uid="{00000000-0005-0000-0000-000036020000}"/>
    <cellStyle name="Gut 2" xfId="568" xr:uid="{00000000-0005-0000-0000-000037020000}"/>
    <cellStyle name="HEADER" xfId="569" xr:uid="{00000000-0005-0000-0000-000038020000}"/>
    <cellStyle name="Heading 1 10" xfId="570" xr:uid="{00000000-0005-0000-0000-000039020000}"/>
    <cellStyle name="Heading 1 11" xfId="571" xr:uid="{00000000-0005-0000-0000-00003A020000}"/>
    <cellStyle name="Heading 1 12" xfId="572" xr:uid="{00000000-0005-0000-0000-00003B020000}"/>
    <cellStyle name="Heading 1 13" xfId="573" xr:uid="{00000000-0005-0000-0000-00003C020000}"/>
    <cellStyle name="Heading 1 14" xfId="574" xr:uid="{00000000-0005-0000-0000-00003D020000}"/>
    <cellStyle name="Heading 1 15" xfId="575" xr:uid="{00000000-0005-0000-0000-00003E020000}"/>
    <cellStyle name="Heading 1 16" xfId="576" xr:uid="{00000000-0005-0000-0000-00003F020000}"/>
    <cellStyle name="Heading 1 17" xfId="577" xr:uid="{00000000-0005-0000-0000-000040020000}"/>
    <cellStyle name="Heading 1 18" xfId="578" xr:uid="{00000000-0005-0000-0000-000041020000}"/>
    <cellStyle name="Heading 1 19" xfId="579" xr:uid="{00000000-0005-0000-0000-000042020000}"/>
    <cellStyle name="Heading 1 2" xfId="580" xr:uid="{00000000-0005-0000-0000-000043020000}"/>
    <cellStyle name="Heading 1 2 2" xfId="581" xr:uid="{00000000-0005-0000-0000-000044020000}"/>
    <cellStyle name="Heading 1 20" xfId="582" xr:uid="{00000000-0005-0000-0000-000045020000}"/>
    <cellStyle name="Heading 1 3" xfId="583" xr:uid="{00000000-0005-0000-0000-000046020000}"/>
    <cellStyle name="Heading 1 4" xfId="584" xr:uid="{00000000-0005-0000-0000-000047020000}"/>
    <cellStyle name="Heading 1 5" xfId="585" xr:uid="{00000000-0005-0000-0000-000048020000}"/>
    <cellStyle name="Heading 1 6" xfId="586" xr:uid="{00000000-0005-0000-0000-000049020000}"/>
    <cellStyle name="Heading 1 7" xfId="587" xr:uid="{00000000-0005-0000-0000-00004A020000}"/>
    <cellStyle name="Heading 1 8" xfId="588" xr:uid="{00000000-0005-0000-0000-00004B020000}"/>
    <cellStyle name="Heading 1 9" xfId="589" xr:uid="{00000000-0005-0000-0000-00004C020000}"/>
    <cellStyle name="Heading 2 10" xfId="590" xr:uid="{00000000-0005-0000-0000-00004D020000}"/>
    <cellStyle name="Heading 2 11" xfId="591" xr:uid="{00000000-0005-0000-0000-00004E020000}"/>
    <cellStyle name="Heading 2 12" xfId="592" xr:uid="{00000000-0005-0000-0000-00004F020000}"/>
    <cellStyle name="Heading 2 13" xfId="593" xr:uid="{00000000-0005-0000-0000-000050020000}"/>
    <cellStyle name="Heading 2 14" xfId="594" xr:uid="{00000000-0005-0000-0000-000051020000}"/>
    <cellStyle name="Heading 2 15" xfId="595" xr:uid="{00000000-0005-0000-0000-000052020000}"/>
    <cellStyle name="Heading 2 16" xfId="596" xr:uid="{00000000-0005-0000-0000-000053020000}"/>
    <cellStyle name="Heading 2 17" xfId="597" xr:uid="{00000000-0005-0000-0000-000054020000}"/>
    <cellStyle name="Heading 2 18" xfId="598" xr:uid="{00000000-0005-0000-0000-000055020000}"/>
    <cellStyle name="Heading 2 19" xfId="599" xr:uid="{00000000-0005-0000-0000-000056020000}"/>
    <cellStyle name="Heading 2 2" xfId="600" xr:uid="{00000000-0005-0000-0000-000057020000}"/>
    <cellStyle name="Heading 2 2 2" xfId="601" xr:uid="{00000000-0005-0000-0000-000058020000}"/>
    <cellStyle name="Heading 2 20" xfId="602" xr:uid="{00000000-0005-0000-0000-000059020000}"/>
    <cellStyle name="Heading 2 3" xfId="603" xr:uid="{00000000-0005-0000-0000-00005A020000}"/>
    <cellStyle name="Heading 2 4" xfId="604" xr:uid="{00000000-0005-0000-0000-00005B020000}"/>
    <cellStyle name="Heading 2 5" xfId="605" xr:uid="{00000000-0005-0000-0000-00005C020000}"/>
    <cellStyle name="Heading 2 6" xfId="606" xr:uid="{00000000-0005-0000-0000-00005D020000}"/>
    <cellStyle name="Heading 2 7" xfId="607" xr:uid="{00000000-0005-0000-0000-00005E020000}"/>
    <cellStyle name="Heading 2 8" xfId="608" xr:uid="{00000000-0005-0000-0000-00005F020000}"/>
    <cellStyle name="Heading 2 9" xfId="609" xr:uid="{00000000-0005-0000-0000-000060020000}"/>
    <cellStyle name="Heading 3 2" xfId="610" xr:uid="{00000000-0005-0000-0000-000061020000}"/>
    <cellStyle name="Heading 3 3" xfId="611" xr:uid="{00000000-0005-0000-0000-000062020000}"/>
    <cellStyle name="Heading 4 2" xfId="612" xr:uid="{00000000-0005-0000-0000-000063020000}"/>
    <cellStyle name="Heading 4 3" xfId="613" xr:uid="{00000000-0005-0000-0000-000064020000}"/>
    <cellStyle name="Heading1" xfId="614" xr:uid="{00000000-0005-0000-0000-000065020000}"/>
    <cellStyle name="Heading2" xfId="615" xr:uid="{00000000-0005-0000-0000-000066020000}"/>
    <cellStyle name="Headline" xfId="616" xr:uid="{00000000-0005-0000-0000-000067020000}"/>
    <cellStyle name="HIGHLIGHT" xfId="617" xr:uid="{00000000-0005-0000-0000-000068020000}"/>
    <cellStyle name="Hiperłącze 2" xfId="618" xr:uid="{00000000-0005-0000-0000-000069020000}"/>
    <cellStyle name="Hiperłącze 2 2" xfId="619" xr:uid="{00000000-0005-0000-0000-00006A020000}"/>
    <cellStyle name="Hiperłącze 2 3" xfId="620" xr:uid="{00000000-0005-0000-0000-00006B020000}"/>
    <cellStyle name="Hiperłącze 3" xfId="1261" xr:uid="{14B20223-B92A-4CC4-AAA1-1898DEBCF58E}"/>
    <cellStyle name="Hyperlink" xfId="1244" xr:uid="{00000000-000B-0000-0000-000008000000}"/>
    <cellStyle name="Hyperlink 2" xfId="621" xr:uid="{00000000-0005-0000-0000-00006C020000}"/>
    <cellStyle name="Hyperlink 3" xfId="622" xr:uid="{00000000-0005-0000-0000-00006D020000}"/>
    <cellStyle name="Hyperlink 3 2" xfId="623" xr:uid="{00000000-0005-0000-0000-00006E020000}"/>
    <cellStyle name="Hyperlink 3 3" xfId="624" xr:uid="{00000000-0005-0000-0000-00006F020000}"/>
    <cellStyle name="Hyperlink 4" xfId="625" xr:uid="{00000000-0005-0000-0000-000070020000}"/>
    <cellStyle name="Input [yellow]" xfId="626" xr:uid="{00000000-0005-0000-0000-000071020000}"/>
    <cellStyle name="Input 10" xfId="627" xr:uid="{00000000-0005-0000-0000-000072020000}"/>
    <cellStyle name="Input 11" xfId="628" xr:uid="{00000000-0005-0000-0000-000073020000}"/>
    <cellStyle name="Input 12" xfId="629" xr:uid="{00000000-0005-0000-0000-000074020000}"/>
    <cellStyle name="Input 13" xfId="630" xr:uid="{00000000-0005-0000-0000-000075020000}"/>
    <cellStyle name="Input 14" xfId="631" xr:uid="{00000000-0005-0000-0000-000076020000}"/>
    <cellStyle name="Input 15" xfId="632" xr:uid="{00000000-0005-0000-0000-000077020000}"/>
    <cellStyle name="Input 16" xfId="633" xr:uid="{00000000-0005-0000-0000-000078020000}"/>
    <cellStyle name="Input 17" xfId="634" xr:uid="{00000000-0005-0000-0000-000079020000}"/>
    <cellStyle name="Input 18" xfId="635" xr:uid="{00000000-0005-0000-0000-00007A020000}"/>
    <cellStyle name="Input 19" xfId="636" xr:uid="{00000000-0005-0000-0000-00007B020000}"/>
    <cellStyle name="Input 2" xfId="637" xr:uid="{00000000-0005-0000-0000-00007C020000}"/>
    <cellStyle name="Input 20" xfId="638" xr:uid="{00000000-0005-0000-0000-00007D020000}"/>
    <cellStyle name="Input 21" xfId="639" xr:uid="{00000000-0005-0000-0000-00007E020000}"/>
    <cellStyle name="Input 22" xfId="640" xr:uid="{00000000-0005-0000-0000-00007F020000}"/>
    <cellStyle name="Input 23" xfId="641" xr:uid="{00000000-0005-0000-0000-000080020000}"/>
    <cellStyle name="Input 24" xfId="642" xr:uid="{00000000-0005-0000-0000-000081020000}"/>
    <cellStyle name="Input 25" xfId="643" xr:uid="{00000000-0005-0000-0000-000082020000}"/>
    <cellStyle name="Input 26" xfId="644" xr:uid="{00000000-0005-0000-0000-000083020000}"/>
    <cellStyle name="Input 27" xfId="645" xr:uid="{00000000-0005-0000-0000-000084020000}"/>
    <cellStyle name="Input 28" xfId="646" xr:uid="{00000000-0005-0000-0000-000085020000}"/>
    <cellStyle name="Input 29" xfId="647" xr:uid="{00000000-0005-0000-0000-000086020000}"/>
    <cellStyle name="Input 3" xfId="648" xr:uid="{00000000-0005-0000-0000-000087020000}"/>
    <cellStyle name="Input 30" xfId="649" xr:uid="{00000000-0005-0000-0000-000088020000}"/>
    <cellStyle name="Input 31" xfId="650" xr:uid="{00000000-0005-0000-0000-000089020000}"/>
    <cellStyle name="Input 32" xfId="651" xr:uid="{00000000-0005-0000-0000-00008A020000}"/>
    <cellStyle name="Input 33" xfId="652" xr:uid="{00000000-0005-0000-0000-00008B020000}"/>
    <cellStyle name="Input 34" xfId="653" xr:uid="{00000000-0005-0000-0000-00008C020000}"/>
    <cellStyle name="Input 35" xfId="654" xr:uid="{00000000-0005-0000-0000-00008D020000}"/>
    <cellStyle name="Input 36" xfId="655" xr:uid="{00000000-0005-0000-0000-00008E020000}"/>
    <cellStyle name="Input 37" xfId="656" xr:uid="{00000000-0005-0000-0000-00008F020000}"/>
    <cellStyle name="Input 38" xfId="657" xr:uid="{00000000-0005-0000-0000-000090020000}"/>
    <cellStyle name="Input 39" xfId="658" xr:uid="{00000000-0005-0000-0000-000091020000}"/>
    <cellStyle name="Input 4" xfId="659" xr:uid="{00000000-0005-0000-0000-000092020000}"/>
    <cellStyle name="Input 40" xfId="660" xr:uid="{00000000-0005-0000-0000-000093020000}"/>
    <cellStyle name="Input 41" xfId="661" xr:uid="{00000000-0005-0000-0000-000094020000}"/>
    <cellStyle name="Input 42" xfId="662" xr:uid="{00000000-0005-0000-0000-000095020000}"/>
    <cellStyle name="Input 43" xfId="663" xr:uid="{00000000-0005-0000-0000-000096020000}"/>
    <cellStyle name="Input 44" xfId="664" xr:uid="{00000000-0005-0000-0000-000097020000}"/>
    <cellStyle name="Input 5" xfId="665" xr:uid="{00000000-0005-0000-0000-000098020000}"/>
    <cellStyle name="Input 6" xfId="666" xr:uid="{00000000-0005-0000-0000-000099020000}"/>
    <cellStyle name="Input 7" xfId="667" xr:uid="{00000000-0005-0000-0000-00009A020000}"/>
    <cellStyle name="Input 8" xfId="668" xr:uid="{00000000-0005-0000-0000-00009B020000}"/>
    <cellStyle name="Input 9" xfId="669" xr:uid="{00000000-0005-0000-0000-00009C020000}"/>
    <cellStyle name="InputCells" xfId="670" xr:uid="{00000000-0005-0000-0000-00009D020000}"/>
    <cellStyle name="InputCells12_BBorder_CRFReport-template" xfId="671" xr:uid="{00000000-0005-0000-0000-00009E020000}"/>
    <cellStyle name="Komma 2" xfId="672" xr:uid="{00000000-0005-0000-0000-00009F020000}"/>
    <cellStyle name="Komma 3" xfId="673" xr:uid="{00000000-0005-0000-0000-0000A0020000}"/>
    <cellStyle name="Komma 3 2" xfId="1246" xr:uid="{5C49D7A2-0DF1-4850-B894-B1C4B41547F1}"/>
    <cellStyle name="Komma 4" xfId="674" xr:uid="{00000000-0005-0000-0000-0000A1020000}"/>
    <cellStyle name="Komórka połączona" xfId="675" xr:uid="{00000000-0005-0000-0000-0000A2020000}"/>
    <cellStyle name="Komórka połączona 10" xfId="676" xr:uid="{00000000-0005-0000-0000-0000A3020000}"/>
    <cellStyle name="Komórka połączona 10 2" xfId="677" xr:uid="{00000000-0005-0000-0000-0000A4020000}"/>
    <cellStyle name="Komórka połączona 10 3" xfId="678" xr:uid="{00000000-0005-0000-0000-0000A5020000}"/>
    <cellStyle name="Komórka połączona 11" xfId="679" xr:uid="{00000000-0005-0000-0000-0000A6020000}"/>
    <cellStyle name="Komórka połączona 12" xfId="680" xr:uid="{00000000-0005-0000-0000-0000A7020000}"/>
    <cellStyle name="Komórka połączona 2" xfId="681" xr:uid="{00000000-0005-0000-0000-0000A8020000}"/>
    <cellStyle name="Komórka połączona 3" xfId="682" xr:uid="{00000000-0005-0000-0000-0000A9020000}"/>
    <cellStyle name="Komórka połączona 4" xfId="683" xr:uid="{00000000-0005-0000-0000-0000AA020000}"/>
    <cellStyle name="Komórka połączona 5" xfId="684" xr:uid="{00000000-0005-0000-0000-0000AB020000}"/>
    <cellStyle name="Komórka połączona 6" xfId="685" xr:uid="{00000000-0005-0000-0000-0000AC020000}"/>
    <cellStyle name="Komórka połączona 7" xfId="686" xr:uid="{00000000-0005-0000-0000-0000AD020000}"/>
    <cellStyle name="Komórka połączona 8" xfId="687" xr:uid="{00000000-0005-0000-0000-0000AE020000}"/>
    <cellStyle name="Komórka połączona 9" xfId="688" xr:uid="{00000000-0005-0000-0000-0000AF020000}"/>
    <cellStyle name="Komórka połączona 9 2" xfId="689" xr:uid="{00000000-0005-0000-0000-0000B0020000}"/>
    <cellStyle name="Komórka połączona 9 3" xfId="690" xr:uid="{00000000-0005-0000-0000-0000B1020000}"/>
    <cellStyle name="Komórka połączona_D_HEAT" xfId="691" xr:uid="{00000000-0005-0000-0000-0000B2020000}"/>
    <cellStyle name="Komórka zaznaczona 10" xfId="692" xr:uid="{00000000-0005-0000-0000-0000B3020000}"/>
    <cellStyle name="Komórka zaznaczona 10 2" xfId="693" xr:uid="{00000000-0005-0000-0000-0000B4020000}"/>
    <cellStyle name="Komórka zaznaczona 10 3" xfId="694" xr:uid="{00000000-0005-0000-0000-0000B5020000}"/>
    <cellStyle name="Komórka zaznaczona 11" xfId="695" xr:uid="{00000000-0005-0000-0000-0000B6020000}"/>
    <cellStyle name="Komórka zaznaczona 12" xfId="696" xr:uid="{00000000-0005-0000-0000-0000B7020000}"/>
    <cellStyle name="Komórka zaznaczona 2" xfId="697" xr:uid="{00000000-0005-0000-0000-0000B8020000}"/>
    <cellStyle name="Komórka zaznaczona 3" xfId="698" xr:uid="{00000000-0005-0000-0000-0000B9020000}"/>
    <cellStyle name="Komórka zaznaczona 4" xfId="699" xr:uid="{00000000-0005-0000-0000-0000BA020000}"/>
    <cellStyle name="Komórka zaznaczona 5" xfId="700" xr:uid="{00000000-0005-0000-0000-0000BB020000}"/>
    <cellStyle name="Komórka zaznaczona 6" xfId="701" xr:uid="{00000000-0005-0000-0000-0000BC020000}"/>
    <cellStyle name="Komórka zaznaczona 7" xfId="702" xr:uid="{00000000-0005-0000-0000-0000BD020000}"/>
    <cellStyle name="Komórka zaznaczona 8" xfId="703" xr:uid="{00000000-0005-0000-0000-0000BE020000}"/>
    <cellStyle name="Komórka zaznaczona 9" xfId="704" xr:uid="{00000000-0005-0000-0000-0000BF020000}"/>
    <cellStyle name="Komórka zaznaczona 9 2" xfId="705" xr:uid="{00000000-0005-0000-0000-0000C0020000}"/>
    <cellStyle name="Komórka zaznaczona 9 3" xfId="706" xr:uid="{00000000-0005-0000-0000-0000C1020000}"/>
    <cellStyle name="Linked Cell 2" xfId="707" xr:uid="{00000000-0005-0000-0000-0000C2020000}"/>
    <cellStyle name="Linked Cell 3" xfId="708" xr:uid="{00000000-0005-0000-0000-0000C3020000}"/>
    <cellStyle name="Nagłówek 1 10" xfId="709" xr:uid="{00000000-0005-0000-0000-0000C4020000}"/>
    <cellStyle name="Nagłówek 1 10 2" xfId="710" xr:uid="{00000000-0005-0000-0000-0000C5020000}"/>
    <cellStyle name="Nagłówek 1 10 3" xfId="711" xr:uid="{00000000-0005-0000-0000-0000C6020000}"/>
    <cellStyle name="Nagłówek 1 11" xfId="712" xr:uid="{00000000-0005-0000-0000-0000C7020000}"/>
    <cellStyle name="Nagłówek 1 12" xfId="713" xr:uid="{00000000-0005-0000-0000-0000C8020000}"/>
    <cellStyle name="Nagłówek 1 2" xfId="714" xr:uid="{00000000-0005-0000-0000-0000C9020000}"/>
    <cellStyle name="Nagłówek 1 3" xfId="715" xr:uid="{00000000-0005-0000-0000-0000CA020000}"/>
    <cellStyle name="Nagłówek 1 4" xfId="716" xr:uid="{00000000-0005-0000-0000-0000CB020000}"/>
    <cellStyle name="Nagłówek 1 5" xfId="717" xr:uid="{00000000-0005-0000-0000-0000CC020000}"/>
    <cellStyle name="Nagłówek 1 6" xfId="718" xr:uid="{00000000-0005-0000-0000-0000CD020000}"/>
    <cellStyle name="Nagłówek 1 7" xfId="719" xr:uid="{00000000-0005-0000-0000-0000CE020000}"/>
    <cellStyle name="Nagłówek 1 8" xfId="720" xr:uid="{00000000-0005-0000-0000-0000CF020000}"/>
    <cellStyle name="Nagłówek 1 9" xfId="721" xr:uid="{00000000-0005-0000-0000-0000D0020000}"/>
    <cellStyle name="Nagłówek 1 9 2" xfId="722" xr:uid="{00000000-0005-0000-0000-0000D1020000}"/>
    <cellStyle name="Nagłówek 1 9 3" xfId="723" xr:uid="{00000000-0005-0000-0000-0000D2020000}"/>
    <cellStyle name="Nagłówek 2 10" xfId="724" xr:uid="{00000000-0005-0000-0000-0000D3020000}"/>
    <cellStyle name="Nagłówek 2 10 2" xfId="725" xr:uid="{00000000-0005-0000-0000-0000D4020000}"/>
    <cellStyle name="Nagłówek 2 10 3" xfId="726" xr:uid="{00000000-0005-0000-0000-0000D5020000}"/>
    <cellStyle name="Nagłówek 2 11" xfId="727" xr:uid="{00000000-0005-0000-0000-0000D6020000}"/>
    <cellStyle name="Nagłówek 2 12" xfId="728" xr:uid="{00000000-0005-0000-0000-0000D7020000}"/>
    <cellStyle name="Nagłówek 2 2" xfId="729" xr:uid="{00000000-0005-0000-0000-0000D8020000}"/>
    <cellStyle name="Nagłówek 2 3" xfId="730" xr:uid="{00000000-0005-0000-0000-0000D9020000}"/>
    <cellStyle name="Nagłówek 2 4" xfId="731" xr:uid="{00000000-0005-0000-0000-0000DA020000}"/>
    <cellStyle name="Nagłówek 2 5" xfId="732" xr:uid="{00000000-0005-0000-0000-0000DB020000}"/>
    <cellStyle name="Nagłówek 2 6" xfId="733" xr:uid="{00000000-0005-0000-0000-0000DC020000}"/>
    <cellStyle name="Nagłówek 2 7" xfId="734" xr:uid="{00000000-0005-0000-0000-0000DD020000}"/>
    <cellStyle name="Nagłówek 2 8" xfId="735" xr:uid="{00000000-0005-0000-0000-0000DE020000}"/>
    <cellStyle name="Nagłówek 2 9" xfId="736" xr:uid="{00000000-0005-0000-0000-0000DF020000}"/>
    <cellStyle name="Nagłówek 2 9 2" xfId="737" xr:uid="{00000000-0005-0000-0000-0000E0020000}"/>
    <cellStyle name="Nagłówek 2 9 3" xfId="738" xr:uid="{00000000-0005-0000-0000-0000E1020000}"/>
    <cellStyle name="Nagłówek 3 10" xfId="739" xr:uid="{00000000-0005-0000-0000-0000E2020000}"/>
    <cellStyle name="Nagłówek 3 10 2" xfId="740" xr:uid="{00000000-0005-0000-0000-0000E3020000}"/>
    <cellStyle name="Nagłówek 3 10 3" xfId="741" xr:uid="{00000000-0005-0000-0000-0000E4020000}"/>
    <cellStyle name="Nagłówek 3 11" xfId="742" xr:uid="{00000000-0005-0000-0000-0000E5020000}"/>
    <cellStyle name="Nagłówek 3 12" xfId="743" xr:uid="{00000000-0005-0000-0000-0000E6020000}"/>
    <cellStyle name="Nagłówek 3 2" xfId="744" xr:uid="{00000000-0005-0000-0000-0000E7020000}"/>
    <cellStyle name="Nagłówek 3 3" xfId="745" xr:uid="{00000000-0005-0000-0000-0000E8020000}"/>
    <cellStyle name="Nagłówek 3 4" xfId="746" xr:uid="{00000000-0005-0000-0000-0000E9020000}"/>
    <cellStyle name="Nagłówek 3 5" xfId="747" xr:uid="{00000000-0005-0000-0000-0000EA020000}"/>
    <cellStyle name="Nagłówek 3 6" xfId="748" xr:uid="{00000000-0005-0000-0000-0000EB020000}"/>
    <cellStyle name="Nagłówek 3 7" xfId="749" xr:uid="{00000000-0005-0000-0000-0000EC020000}"/>
    <cellStyle name="Nagłówek 3 8" xfId="750" xr:uid="{00000000-0005-0000-0000-0000ED020000}"/>
    <cellStyle name="Nagłówek 3 9" xfId="751" xr:uid="{00000000-0005-0000-0000-0000EE020000}"/>
    <cellStyle name="Nagłówek 3 9 2" xfId="752" xr:uid="{00000000-0005-0000-0000-0000EF020000}"/>
    <cellStyle name="Nagłówek 3 9 3" xfId="753" xr:uid="{00000000-0005-0000-0000-0000F0020000}"/>
    <cellStyle name="Nagłówek 4 10" xfId="754" xr:uid="{00000000-0005-0000-0000-0000F1020000}"/>
    <cellStyle name="Nagłówek 4 10 2" xfId="755" xr:uid="{00000000-0005-0000-0000-0000F2020000}"/>
    <cellStyle name="Nagłówek 4 10 3" xfId="756" xr:uid="{00000000-0005-0000-0000-0000F3020000}"/>
    <cellStyle name="Nagłówek 4 11" xfId="757" xr:uid="{00000000-0005-0000-0000-0000F4020000}"/>
    <cellStyle name="Nagłówek 4 12" xfId="758" xr:uid="{00000000-0005-0000-0000-0000F5020000}"/>
    <cellStyle name="Nagłówek 4 2" xfId="759" xr:uid="{00000000-0005-0000-0000-0000F6020000}"/>
    <cellStyle name="Nagłówek 4 3" xfId="760" xr:uid="{00000000-0005-0000-0000-0000F7020000}"/>
    <cellStyle name="Nagłówek 4 4" xfId="761" xr:uid="{00000000-0005-0000-0000-0000F8020000}"/>
    <cellStyle name="Nagłówek 4 5" xfId="762" xr:uid="{00000000-0005-0000-0000-0000F9020000}"/>
    <cellStyle name="Nagłówek 4 6" xfId="763" xr:uid="{00000000-0005-0000-0000-0000FA020000}"/>
    <cellStyle name="Nagłówek 4 7" xfId="764" xr:uid="{00000000-0005-0000-0000-0000FB020000}"/>
    <cellStyle name="Nagłówek 4 8" xfId="765" xr:uid="{00000000-0005-0000-0000-0000FC020000}"/>
    <cellStyle name="Nagłówek 4 9" xfId="766" xr:uid="{00000000-0005-0000-0000-0000FD020000}"/>
    <cellStyle name="Nagłówek 4 9 2" xfId="767" xr:uid="{00000000-0005-0000-0000-0000FE020000}"/>
    <cellStyle name="Nagłówek 4 9 3" xfId="768" xr:uid="{00000000-0005-0000-0000-0000FF020000}"/>
    <cellStyle name="Neutral 2" xfId="769" xr:uid="{00000000-0005-0000-0000-000000030000}"/>
    <cellStyle name="Neutral 3" xfId="770" xr:uid="{00000000-0005-0000-0000-000001030000}"/>
    <cellStyle name="Neutralne" xfId="771" xr:uid="{00000000-0005-0000-0000-000002030000}"/>
    <cellStyle name="Neutralne 10" xfId="772" xr:uid="{00000000-0005-0000-0000-000003030000}"/>
    <cellStyle name="Neutralne 10 2" xfId="773" xr:uid="{00000000-0005-0000-0000-000004030000}"/>
    <cellStyle name="Neutralne 10 3" xfId="774" xr:uid="{00000000-0005-0000-0000-000005030000}"/>
    <cellStyle name="Neutralne 11" xfId="775" xr:uid="{00000000-0005-0000-0000-000006030000}"/>
    <cellStyle name="Neutralne 12" xfId="776" xr:uid="{00000000-0005-0000-0000-000007030000}"/>
    <cellStyle name="Neutralne 13" xfId="777" xr:uid="{00000000-0005-0000-0000-000008030000}"/>
    <cellStyle name="Neutralne 2" xfId="778" xr:uid="{00000000-0005-0000-0000-000009030000}"/>
    <cellStyle name="Neutralne 3" xfId="779" xr:uid="{00000000-0005-0000-0000-00000A030000}"/>
    <cellStyle name="Neutralne 4" xfId="780" xr:uid="{00000000-0005-0000-0000-00000B030000}"/>
    <cellStyle name="Neutralne 5" xfId="781" xr:uid="{00000000-0005-0000-0000-00000C030000}"/>
    <cellStyle name="Neutralne 6" xfId="782" xr:uid="{00000000-0005-0000-0000-00000D030000}"/>
    <cellStyle name="Neutralne 7" xfId="783" xr:uid="{00000000-0005-0000-0000-00000E030000}"/>
    <cellStyle name="Neutralne 8" xfId="784" xr:uid="{00000000-0005-0000-0000-00000F030000}"/>
    <cellStyle name="Neutralne 9" xfId="785" xr:uid="{00000000-0005-0000-0000-000010030000}"/>
    <cellStyle name="Neutralne 9 2" xfId="786" xr:uid="{00000000-0005-0000-0000-000011030000}"/>
    <cellStyle name="Neutralne 9 3" xfId="787" xr:uid="{00000000-0005-0000-0000-000012030000}"/>
    <cellStyle name="Neutralne_D_HEAT" xfId="788" xr:uid="{00000000-0005-0000-0000-000013030000}"/>
    <cellStyle name="no dec" xfId="789" xr:uid="{00000000-0005-0000-0000-000014030000}"/>
    <cellStyle name="Normal" xfId="0" builtinId="0"/>
    <cellStyle name="Normal - Style1" xfId="790" xr:uid="{00000000-0005-0000-0000-000015030000}"/>
    <cellStyle name="Normal - Style1 2" xfId="1247" xr:uid="{304C81AE-6CFC-4CDB-92B8-8D0CB4F6FB63}"/>
    <cellStyle name="Normal 10" xfId="791" xr:uid="{00000000-0005-0000-0000-000016030000}"/>
    <cellStyle name="Normal 10 15 2" xfId="1260" xr:uid="{3C4687C8-A385-4E38-BAD2-324540CB61F6}"/>
    <cellStyle name="Normal 14" xfId="792" xr:uid="{00000000-0005-0000-0000-000017030000}"/>
    <cellStyle name="Normal 2" xfId="793" xr:uid="{00000000-0005-0000-0000-000018030000}"/>
    <cellStyle name="Normal 20" xfId="794" xr:uid="{00000000-0005-0000-0000-000019030000}"/>
    <cellStyle name="Normal 21" xfId="795" xr:uid="{00000000-0005-0000-0000-00001A030000}"/>
    <cellStyle name="Normal 3" xfId="796" xr:uid="{00000000-0005-0000-0000-00001B030000}"/>
    <cellStyle name="Normal 3 2" xfId="797" xr:uid="{00000000-0005-0000-0000-00001C030000}"/>
    <cellStyle name="Normal 3 3" xfId="798" xr:uid="{00000000-0005-0000-0000-00001D030000}"/>
    <cellStyle name="Normal 3 4" xfId="799" xr:uid="{00000000-0005-0000-0000-00001E030000}"/>
    <cellStyle name="Normal 39 2 2" xfId="1259" xr:uid="{940DEB15-709C-4C4B-9840-BCFB844DD24E}"/>
    <cellStyle name="Normal 4" xfId="800" xr:uid="{00000000-0005-0000-0000-00001F030000}"/>
    <cellStyle name="Normal 4 2" xfId="801" xr:uid="{00000000-0005-0000-0000-000020030000}"/>
    <cellStyle name="Normal 5" xfId="1243" xr:uid="{00000000-0005-0000-0000-000021030000}"/>
    <cellStyle name="Normal 5 2" xfId="802" xr:uid="{00000000-0005-0000-0000-000022030000}"/>
    <cellStyle name="Normal 5 3" xfId="1258" xr:uid="{F83E6223-4AC9-44BE-B3F6-AC0219EE4518}"/>
    <cellStyle name="Normal 6 2" xfId="803" xr:uid="{00000000-0005-0000-0000-000023030000}"/>
    <cellStyle name="Normal 7 2" xfId="804" xr:uid="{00000000-0005-0000-0000-000024030000}"/>
    <cellStyle name="Normal GHG Textfiels Bold" xfId="805" xr:uid="{00000000-0005-0000-0000-000025030000}"/>
    <cellStyle name="Normal GHG-Shade" xfId="806" xr:uid="{00000000-0005-0000-0000-000026030000}"/>
    <cellStyle name="Normal GHG-Shade 2" xfId="807" xr:uid="{00000000-0005-0000-0000-000027030000}"/>
    <cellStyle name="Normale_B2020" xfId="808" xr:uid="{00000000-0005-0000-0000-000028030000}"/>
    <cellStyle name="Normalny 10" xfId="809" xr:uid="{00000000-0005-0000-0000-00002A030000}"/>
    <cellStyle name="Normalny 10 2" xfId="810" xr:uid="{00000000-0005-0000-0000-00002B030000}"/>
    <cellStyle name="Normalny 10 2 2" xfId="811" xr:uid="{00000000-0005-0000-0000-00002C030000}"/>
    <cellStyle name="Normalny 10 2 3" xfId="812" xr:uid="{00000000-0005-0000-0000-00002D030000}"/>
    <cellStyle name="Normalny 10 2 4" xfId="813" xr:uid="{00000000-0005-0000-0000-00002E030000}"/>
    <cellStyle name="Normalny 10 3" xfId="814" xr:uid="{00000000-0005-0000-0000-00002F030000}"/>
    <cellStyle name="Normalny 10 3 2" xfId="815" xr:uid="{00000000-0005-0000-0000-000030030000}"/>
    <cellStyle name="Normalny 10 3 3" xfId="816" xr:uid="{00000000-0005-0000-0000-000031030000}"/>
    <cellStyle name="Normalny 10 4" xfId="817" xr:uid="{00000000-0005-0000-0000-000032030000}"/>
    <cellStyle name="Normalny 11" xfId="818" xr:uid="{00000000-0005-0000-0000-000033030000}"/>
    <cellStyle name="Normalny 11 2" xfId="819" xr:uid="{00000000-0005-0000-0000-000034030000}"/>
    <cellStyle name="Normalny 11 2 2" xfId="820" xr:uid="{00000000-0005-0000-0000-000035030000}"/>
    <cellStyle name="Normalny 11 2 3" xfId="821" xr:uid="{00000000-0005-0000-0000-000036030000}"/>
    <cellStyle name="Normalny 11 3" xfId="822" xr:uid="{00000000-0005-0000-0000-000037030000}"/>
    <cellStyle name="Normalny 11 3 2" xfId="823" xr:uid="{00000000-0005-0000-0000-000038030000}"/>
    <cellStyle name="Normalny 11 3 2 2" xfId="824" xr:uid="{00000000-0005-0000-0000-000039030000}"/>
    <cellStyle name="Normalny 11 3 2 3" xfId="825" xr:uid="{00000000-0005-0000-0000-00003A030000}"/>
    <cellStyle name="Normalny 11 3 3" xfId="826" xr:uid="{00000000-0005-0000-0000-00003B030000}"/>
    <cellStyle name="Normalny 11 4" xfId="827" xr:uid="{00000000-0005-0000-0000-00003C030000}"/>
    <cellStyle name="Normalny 11 4 2" xfId="828" xr:uid="{00000000-0005-0000-0000-00003D030000}"/>
    <cellStyle name="Normalny 11 4 3" xfId="829" xr:uid="{00000000-0005-0000-0000-00003E030000}"/>
    <cellStyle name="Normalny 11 5" xfId="830" xr:uid="{00000000-0005-0000-0000-00003F030000}"/>
    <cellStyle name="Normalny 11 5 2" xfId="831" xr:uid="{00000000-0005-0000-0000-000040030000}"/>
    <cellStyle name="Normalny 11 5 3" xfId="832" xr:uid="{00000000-0005-0000-0000-000041030000}"/>
    <cellStyle name="Normalny 11 6" xfId="833" xr:uid="{00000000-0005-0000-0000-000042030000}"/>
    <cellStyle name="Normalny 11 6 2" xfId="1248" xr:uid="{D675BB15-57AF-440D-8EA4-9F816C591DC2}"/>
    <cellStyle name="Normalny 11 7" xfId="834" xr:uid="{00000000-0005-0000-0000-000043030000}"/>
    <cellStyle name="Normalny 11 7 2" xfId="1249" xr:uid="{8BC1E3FF-0C9B-43E9-9500-4D6018E1ABB5}"/>
    <cellStyle name="Normalny 12" xfId="835" xr:uid="{00000000-0005-0000-0000-000044030000}"/>
    <cellStyle name="Normalny 13" xfId="836" xr:uid="{00000000-0005-0000-0000-000045030000}"/>
    <cellStyle name="Normalny 13 10" xfId="837" xr:uid="{00000000-0005-0000-0000-000046030000}"/>
    <cellStyle name="Normalny 13 10 2" xfId="1250" xr:uid="{99919710-A3E8-4575-B926-5597FB461CF4}"/>
    <cellStyle name="Normalny 13 2" xfId="838" xr:uid="{00000000-0005-0000-0000-000047030000}"/>
    <cellStyle name="Normalny 13 2 2" xfId="839" xr:uid="{00000000-0005-0000-0000-000048030000}"/>
    <cellStyle name="Normalny 13 2 2 2" xfId="840" xr:uid="{00000000-0005-0000-0000-000049030000}"/>
    <cellStyle name="Normalny 13 2 2 2 2" xfId="841" xr:uid="{00000000-0005-0000-0000-00004A030000}"/>
    <cellStyle name="Normalny 13 2 2 2 2 2" xfId="842" xr:uid="{00000000-0005-0000-0000-00004B030000}"/>
    <cellStyle name="Normalny 13 2 2 2 3" xfId="843" xr:uid="{00000000-0005-0000-0000-00004C030000}"/>
    <cellStyle name="Normalny 13 2 2 2 3 2" xfId="844" xr:uid="{00000000-0005-0000-0000-00004D030000}"/>
    <cellStyle name="Normalny 13 2 2 2 4" xfId="845" xr:uid="{00000000-0005-0000-0000-00004E030000}"/>
    <cellStyle name="Normalny 13 2 2 2 5" xfId="846" xr:uid="{00000000-0005-0000-0000-00004F030000}"/>
    <cellStyle name="Normalny 13 2 2 3" xfId="847" xr:uid="{00000000-0005-0000-0000-000050030000}"/>
    <cellStyle name="Normalny 13 2 2 3 2" xfId="848" xr:uid="{00000000-0005-0000-0000-000051030000}"/>
    <cellStyle name="Normalny 13 2 2 4" xfId="849" xr:uid="{00000000-0005-0000-0000-000052030000}"/>
    <cellStyle name="Normalny 13 2 2 4 2" xfId="850" xr:uid="{00000000-0005-0000-0000-000053030000}"/>
    <cellStyle name="Normalny 13 2 2 5" xfId="851" xr:uid="{00000000-0005-0000-0000-000054030000}"/>
    <cellStyle name="Normalny 13 2 2 6" xfId="852" xr:uid="{00000000-0005-0000-0000-000055030000}"/>
    <cellStyle name="Normalny 13 2 3" xfId="853" xr:uid="{00000000-0005-0000-0000-000056030000}"/>
    <cellStyle name="Normalny 13 2 3 2" xfId="854" xr:uid="{00000000-0005-0000-0000-000057030000}"/>
    <cellStyle name="Normalny 13 2 3 2 2" xfId="855" xr:uid="{00000000-0005-0000-0000-000058030000}"/>
    <cellStyle name="Normalny 13 2 3 3" xfId="856" xr:uid="{00000000-0005-0000-0000-000059030000}"/>
    <cellStyle name="Normalny 13 2 3 3 2" xfId="857" xr:uid="{00000000-0005-0000-0000-00005A030000}"/>
    <cellStyle name="Normalny 13 2 3 4" xfId="858" xr:uid="{00000000-0005-0000-0000-00005B030000}"/>
    <cellStyle name="Normalny 13 2 3 5" xfId="859" xr:uid="{00000000-0005-0000-0000-00005C030000}"/>
    <cellStyle name="Normalny 13 2 4" xfId="860" xr:uid="{00000000-0005-0000-0000-00005D030000}"/>
    <cellStyle name="Normalny 13 2 4 2" xfId="861" xr:uid="{00000000-0005-0000-0000-00005E030000}"/>
    <cellStyle name="Normalny 13 2 5" xfId="862" xr:uid="{00000000-0005-0000-0000-00005F030000}"/>
    <cellStyle name="Normalny 13 2 5 2" xfId="863" xr:uid="{00000000-0005-0000-0000-000060030000}"/>
    <cellStyle name="Normalny 13 2 6" xfId="864" xr:uid="{00000000-0005-0000-0000-000061030000}"/>
    <cellStyle name="Normalny 13 2 7" xfId="865" xr:uid="{00000000-0005-0000-0000-000062030000}"/>
    <cellStyle name="Normalny 13 3" xfId="866" xr:uid="{00000000-0005-0000-0000-000063030000}"/>
    <cellStyle name="Normalny 13 3 2" xfId="867" xr:uid="{00000000-0005-0000-0000-000064030000}"/>
    <cellStyle name="Normalny 13 3 2 2" xfId="868" xr:uid="{00000000-0005-0000-0000-000065030000}"/>
    <cellStyle name="Normalny 13 3 2 2 2" xfId="869" xr:uid="{00000000-0005-0000-0000-000066030000}"/>
    <cellStyle name="Normalny 13 3 2 2 3" xfId="870" xr:uid="{00000000-0005-0000-0000-000067030000}"/>
    <cellStyle name="Normalny 13 3 2 3" xfId="871" xr:uid="{00000000-0005-0000-0000-000068030000}"/>
    <cellStyle name="Normalny 13 3 2 4" xfId="872" xr:uid="{00000000-0005-0000-0000-000069030000}"/>
    <cellStyle name="Normalny 13 3 3" xfId="873" xr:uid="{00000000-0005-0000-0000-00006A030000}"/>
    <cellStyle name="Normalny 13 3 4" xfId="874" xr:uid="{00000000-0005-0000-0000-00006B030000}"/>
    <cellStyle name="Normalny 13 3 5" xfId="875" xr:uid="{00000000-0005-0000-0000-00006C030000}"/>
    <cellStyle name="Normalny 13 3 5 2" xfId="1251" xr:uid="{AD67F2F2-8B4B-421C-B5FF-39C3BC1E64FB}"/>
    <cellStyle name="Normalny 13 3 6" xfId="876" xr:uid="{00000000-0005-0000-0000-00006D030000}"/>
    <cellStyle name="Normalny 13 3 6 2" xfId="1252" xr:uid="{116D1A85-89EB-455B-9ACC-884516A64A7D}"/>
    <cellStyle name="Normalny 13 4" xfId="877" xr:uid="{00000000-0005-0000-0000-00006E030000}"/>
    <cellStyle name="Normalny 13 4 2" xfId="878" xr:uid="{00000000-0005-0000-0000-00006F030000}"/>
    <cellStyle name="Normalny 13 4 3" xfId="879" xr:uid="{00000000-0005-0000-0000-000070030000}"/>
    <cellStyle name="Normalny 13 5" xfId="880" xr:uid="{00000000-0005-0000-0000-000071030000}"/>
    <cellStyle name="Normalny 13 5 2" xfId="881" xr:uid="{00000000-0005-0000-0000-000072030000}"/>
    <cellStyle name="Normalny 13 5 3" xfId="882" xr:uid="{00000000-0005-0000-0000-000073030000}"/>
    <cellStyle name="Normalny 13 6" xfId="883" xr:uid="{00000000-0005-0000-0000-000074030000}"/>
    <cellStyle name="Normalny 13 6 2" xfId="884" xr:uid="{00000000-0005-0000-0000-000075030000}"/>
    <cellStyle name="Normalny 13 6 2 2" xfId="885" xr:uid="{00000000-0005-0000-0000-000076030000}"/>
    <cellStyle name="Normalny 13 6 3" xfId="886" xr:uid="{00000000-0005-0000-0000-000077030000}"/>
    <cellStyle name="Normalny 13 6 3 2" xfId="887" xr:uid="{00000000-0005-0000-0000-000078030000}"/>
    <cellStyle name="Normalny 13 6 4" xfId="888" xr:uid="{00000000-0005-0000-0000-000079030000}"/>
    <cellStyle name="Normalny 13 6 5" xfId="889" xr:uid="{00000000-0005-0000-0000-00007A030000}"/>
    <cellStyle name="Normalny 13 7" xfId="890" xr:uid="{00000000-0005-0000-0000-00007B030000}"/>
    <cellStyle name="Normalny 13 7 2" xfId="891" xr:uid="{00000000-0005-0000-0000-00007C030000}"/>
    <cellStyle name="Normalny 13 8" xfId="892" xr:uid="{00000000-0005-0000-0000-00007D030000}"/>
    <cellStyle name="Normalny 13 8 2" xfId="893" xr:uid="{00000000-0005-0000-0000-00007E030000}"/>
    <cellStyle name="Normalny 13 9" xfId="894" xr:uid="{00000000-0005-0000-0000-00007F030000}"/>
    <cellStyle name="Normalny 14" xfId="895" xr:uid="{00000000-0005-0000-0000-000080030000}"/>
    <cellStyle name="Normalny 14 2" xfId="896" xr:uid="{00000000-0005-0000-0000-000081030000}"/>
    <cellStyle name="Normalny 14 2 2" xfId="897" xr:uid="{00000000-0005-0000-0000-000082030000}"/>
    <cellStyle name="Normalny 14 2 2 2" xfId="898" xr:uid="{00000000-0005-0000-0000-000083030000}"/>
    <cellStyle name="Normalny 14 2 2 3" xfId="899" xr:uid="{00000000-0005-0000-0000-000084030000}"/>
    <cellStyle name="Normalny 14 2 3" xfId="900" xr:uid="{00000000-0005-0000-0000-000085030000}"/>
    <cellStyle name="Normalny 14 2 4" xfId="901" xr:uid="{00000000-0005-0000-0000-000086030000}"/>
    <cellStyle name="Normalny 14 3" xfId="902" xr:uid="{00000000-0005-0000-0000-000087030000}"/>
    <cellStyle name="Normalny 14 4" xfId="903" xr:uid="{00000000-0005-0000-0000-000088030000}"/>
    <cellStyle name="Normalny 14 5" xfId="904" xr:uid="{00000000-0005-0000-0000-000089030000}"/>
    <cellStyle name="Normalny 14 5 2" xfId="1253" xr:uid="{13C2152B-AD0A-422A-996A-29BA3B34F55E}"/>
    <cellStyle name="Normalny 15" xfId="905" xr:uid="{00000000-0005-0000-0000-00008A030000}"/>
    <cellStyle name="Normalny 15 2" xfId="906" xr:uid="{00000000-0005-0000-0000-00008B030000}"/>
    <cellStyle name="Normalny 16" xfId="907" xr:uid="{00000000-0005-0000-0000-00008C030000}"/>
    <cellStyle name="Normalny 16 2" xfId="908" xr:uid="{00000000-0005-0000-0000-00008D030000}"/>
    <cellStyle name="Normalny 16 3" xfId="909" xr:uid="{00000000-0005-0000-0000-00008E030000}"/>
    <cellStyle name="Normalny 17" xfId="910" xr:uid="{00000000-0005-0000-0000-00008F030000}"/>
    <cellStyle name="Normalny 18" xfId="911" xr:uid="{00000000-0005-0000-0000-000090030000}"/>
    <cellStyle name="Normalny 18 2" xfId="1254" xr:uid="{883F95FD-BFE6-48CC-99B4-D6F6FBEC8C45}"/>
    <cellStyle name="Normalny 19" xfId="912" xr:uid="{00000000-0005-0000-0000-000091030000}"/>
    <cellStyle name="Normalny 2" xfId="913" xr:uid="{00000000-0005-0000-0000-000092030000}"/>
    <cellStyle name="Normalny 2 2" xfId="914" xr:uid="{00000000-0005-0000-0000-000093030000}"/>
    <cellStyle name="Normalny 2 3" xfId="915" xr:uid="{00000000-0005-0000-0000-000094030000}"/>
    <cellStyle name="Normalny 20" xfId="916" xr:uid="{00000000-0005-0000-0000-000095030000}"/>
    <cellStyle name="Normalny 21" xfId="1257" xr:uid="{36BE54FA-EA1B-4222-A752-4980B8CEB427}"/>
    <cellStyle name="Normalny 3" xfId="917" xr:uid="{00000000-0005-0000-0000-000096030000}"/>
    <cellStyle name="Normalny 4" xfId="918" xr:uid="{00000000-0005-0000-0000-000097030000}"/>
    <cellStyle name="Normalny 5" xfId="919" xr:uid="{00000000-0005-0000-0000-000098030000}"/>
    <cellStyle name="Normalny 6" xfId="920" xr:uid="{00000000-0005-0000-0000-000099030000}"/>
    <cellStyle name="Normalny 7" xfId="921" xr:uid="{00000000-0005-0000-0000-00009A030000}"/>
    <cellStyle name="Normalny 8" xfId="922" xr:uid="{00000000-0005-0000-0000-00009B030000}"/>
    <cellStyle name="Normalny 9" xfId="923" xr:uid="{00000000-0005-0000-0000-00009C030000}"/>
    <cellStyle name="Note 2" xfId="924" xr:uid="{00000000-0005-0000-0000-00009F030000}"/>
    <cellStyle name="Note 3" xfId="925" xr:uid="{00000000-0005-0000-0000-0000A0030000}"/>
    <cellStyle name="Notiz 2" xfId="926" xr:uid="{00000000-0005-0000-0000-0000A1030000}"/>
    <cellStyle name="Obliczenia 10" xfId="927" xr:uid="{00000000-0005-0000-0000-0000A2030000}"/>
    <cellStyle name="Obliczenia 10 2" xfId="928" xr:uid="{00000000-0005-0000-0000-0000A3030000}"/>
    <cellStyle name="Obliczenia 10 3" xfId="929" xr:uid="{00000000-0005-0000-0000-0000A4030000}"/>
    <cellStyle name="Obliczenia 11" xfId="930" xr:uid="{00000000-0005-0000-0000-0000A5030000}"/>
    <cellStyle name="Obliczenia 12" xfId="931" xr:uid="{00000000-0005-0000-0000-0000A6030000}"/>
    <cellStyle name="Obliczenia 2" xfId="932" xr:uid="{00000000-0005-0000-0000-0000A7030000}"/>
    <cellStyle name="Obliczenia 3" xfId="933" xr:uid="{00000000-0005-0000-0000-0000A8030000}"/>
    <cellStyle name="Obliczenia 4" xfId="934" xr:uid="{00000000-0005-0000-0000-0000A9030000}"/>
    <cellStyle name="Obliczenia 5" xfId="935" xr:uid="{00000000-0005-0000-0000-0000AA030000}"/>
    <cellStyle name="Obliczenia 6" xfId="936" xr:uid="{00000000-0005-0000-0000-0000AB030000}"/>
    <cellStyle name="Obliczenia 7" xfId="937" xr:uid="{00000000-0005-0000-0000-0000AC030000}"/>
    <cellStyle name="Obliczenia 8" xfId="938" xr:uid="{00000000-0005-0000-0000-0000AD030000}"/>
    <cellStyle name="Obliczenia 9" xfId="939" xr:uid="{00000000-0005-0000-0000-0000AE030000}"/>
    <cellStyle name="Obliczenia 9 2" xfId="940" xr:uid="{00000000-0005-0000-0000-0000AF030000}"/>
    <cellStyle name="Obliczenia 9 3" xfId="941" xr:uid="{00000000-0005-0000-0000-0000B0030000}"/>
    <cellStyle name="Output 2" xfId="942" xr:uid="{00000000-0005-0000-0000-0000B1030000}"/>
    <cellStyle name="Output 3" xfId="943" xr:uid="{00000000-0005-0000-0000-0000B2030000}"/>
    <cellStyle name="Percent [2]" xfId="944" xr:uid="{00000000-0005-0000-0000-0000B3030000}"/>
    <cellStyle name="Procentowy 2" xfId="945" xr:uid="{00000000-0005-0000-0000-0000B4030000}"/>
    <cellStyle name="Procentowy 2 2" xfId="946" xr:uid="{00000000-0005-0000-0000-0000B5030000}"/>
    <cellStyle name="Procentowy 2 2 2" xfId="947" xr:uid="{00000000-0005-0000-0000-0000B6030000}"/>
    <cellStyle name="Procentowy 2 2 3" xfId="948" xr:uid="{00000000-0005-0000-0000-0000B7030000}"/>
    <cellStyle name="Procentowy 2 3" xfId="949" xr:uid="{00000000-0005-0000-0000-0000B8030000}"/>
    <cellStyle name="Procentowy 2 3 2" xfId="950" xr:uid="{00000000-0005-0000-0000-0000B9030000}"/>
    <cellStyle name="Procentowy 2 3 2 2" xfId="951" xr:uid="{00000000-0005-0000-0000-0000BA030000}"/>
    <cellStyle name="Procentowy 2 3 2 3" xfId="952" xr:uid="{00000000-0005-0000-0000-0000BB030000}"/>
    <cellStyle name="Procentowy 2 3 3" xfId="953" xr:uid="{00000000-0005-0000-0000-0000BC030000}"/>
    <cellStyle name="Procentowy 2 4" xfId="954" xr:uid="{00000000-0005-0000-0000-0000BD030000}"/>
    <cellStyle name="Procentowy 2 4 2" xfId="955" xr:uid="{00000000-0005-0000-0000-0000BE030000}"/>
    <cellStyle name="Procentowy 2 4 3" xfId="956" xr:uid="{00000000-0005-0000-0000-0000BF030000}"/>
    <cellStyle name="Procentowy 2 5" xfId="957" xr:uid="{00000000-0005-0000-0000-0000C0030000}"/>
    <cellStyle name="Procentowy 2 6" xfId="958" xr:uid="{00000000-0005-0000-0000-0000C1030000}"/>
    <cellStyle name="Procentowy 2 6 2" xfId="1255" xr:uid="{A39FF5A7-1E4F-4674-904E-F107DC1F72EC}"/>
    <cellStyle name="Procentowy 2 7" xfId="959" xr:uid="{00000000-0005-0000-0000-0000C2030000}"/>
    <cellStyle name="Procentowy 2 7 2" xfId="1256" xr:uid="{6429F91B-09FC-450B-9B01-1634D9076224}"/>
    <cellStyle name="Procentowy 3" xfId="960" xr:uid="{00000000-0005-0000-0000-0000C3030000}"/>
    <cellStyle name="Procentowy 4" xfId="961" xr:uid="{00000000-0005-0000-0000-0000C4030000}"/>
    <cellStyle name="Procentowy 5" xfId="1262" xr:uid="{8DAD81CA-76FC-4600-89D1-34FF7B7FCF02}"/>
    <cellStyle name="Prozent 2" xfId="962" xr:uid="{00000000-0005-0000-0000-0000C5030000}"/>
    <cellStyle name="Prozent 2 2" xfId="963" xr:uid="{00000000-0005-0000-0000-0000C6030000}"/>
    <cellStyle name="Prozent 3" xfId="964" xr:uid="{00000000-0005-0000-0000-0000C7030000}"/>
    <cellStyle name="Prozent 4" xfId="965" xr:uid="{00000000-0005-0000-0000-0000C8030000}"/>
    <cellStyle name="Prozent 5" xfId="966" xr:uid="{00000000-0005-0000-0000-0000C9030000}"/>
    <cellStyle name="Prozent 5 2" xfId="967" xr:uid="{00000000-0005-0000-0000-0000CA030000}"/>
    <cellStyle name="Prozent 5 2 2" xfId="968" xr:uid="{00000000-0005-0000-0000-0000CB030000}"/>
    <cellStyle name="Prozent 5 2 3" xfId="969" xr:uid="{00000000-0005-0000-0000-0000CC030000}"/>
    <cellStyle name="Prozent 5 3" xfId="970" xr:uid="{00000000-0005-0000-0000-0000CD030000}"/>
    <cellStyle name="Prozent 5 3 2" xfId="971" xr:uid="{00000000-0005-0000-0000-0000CE030000}"/>
    <cellStyle name="Prozent 5 3 3" xfId="972" xr:uid="{00000000-0005-0000-0000-0000CF030000}"/>
    <cellStyle name="Prozent 5 3 4" xfId="973" xr:uid="{00000000-0005-0000-0000-0000D0030000}"/>
    <cellStyle name="Prozent 5 4" xfId="974" xr:uid="{00000000-0005-0000-0000-0000D1030000}"/>
    <cellStyle name="Prozent 6" xfId="975" xr:uid="{00000000-0005-0000-0000-0000D2030000}"/>
    <cellStyle name="Prozent 6 2" xfId="976" xr:uid="{00000000-0005-0000-0000-0000D3030000}"/>
    <cellStyle name="Prozent 6 2 2" xfId="977" xr:uid="{00000000-0005-0000-0000-0000D4030000}"/>
    <cellStyle name="Prozent 6 2 3" xfId="978" xr:uid="{00000000-0005-0000-0000-0000D5030000}"/>
    <cellStyle name="Prozent 6 3" xfId="979" xr:uid="{00000000-0005-0000-0000-0000D6030000}"/>
    <cellStyle name="Prozent 6 3 2" xfId="980" xr:uid="{00000000-0005-0000-0000-0000D7030000}"/>
    <cellStyle name="Prozent 6 3 3" xfId="981" xr:uid="{00000000-0005-0000-0000-0000D8030000}"/>
    <cellStyle name="Prozent 6 3 4" xfId="982" xr:uid="{00000000-0005-0000-0000-0000D9030000}"/>
    <cellStyle name="Prozent 6 4" xfId="983" xr:uid="{00000000-0005-0000-0000-0000DA030000}"/>
    <cellStyle name="Prozent 7" xfId="984" xr:uid="{00000000-0005-0000-0000-0000DB030000}"/>
    <cellStyle name="Prozent 8" xfId="985" xr:uid="{00000000-0005-0000-0000-0000DC030000}"/>
    <cellStyle name="Prozent 8 2" xfId="986" xr:uid="{00000000-0005-0000-0000-0000DD030000}"/>
    <cellStyle name="Prozent 8 2 2" xfId="987" xr:uid="{00000000-0005-0000-0000-0000DE030000}"/>
    <cellStyle name="Prozent 8 3" xfId="988" xr:uid="{00000000-0005-0000-0000-0000DF030000}"/>
    <cellStyle name="RangeName" xfId="989" xr:uid="{00000000-0005-0000-0000-0000E0030000}"/>
    <cellStyle name="SAPBEXaggData" xfId="990" xr:uid="{00000000-0005-0000-0000-0000E1030000}"/>
    <cellStyle name="SAPBEXaggDataEmph" xfId="991" xr:uid="{00000000-0005-0000-0000-0000E2030000}"/>
    <cellStyle name="SAPBEXaggItem" xfId="992" xr:uid="{00000000-0005-0000-0000-0000E3030000}"/>
    <cellStyle name="SAPBEXaggItemX" xfId="993" xr:uid="{00000000-0005-0000-0000-0000E4030000}"/>
    <cellStyle name="SAPBEXchaText" xfId="994" xr:uid="{00000000-0005-0000-0000-0000E5030000}"/>
    <cellStyle name="SAPBEXexcBad7" xfId="995" xr:uid="{00000000-0005-0000-0000-0000E6030000}"/>
    <cellStyle name="SAPBEXexcBad8" xfId="996" xr:uid="{00000000-0005-0000-0000-0000E7030000}"/>
    <cellStyle name="SAPBEXexcBad9" xfId="997" xr:uid="{00000000-0005-0000-0000-0000E8030000}"/>
    <cellStyle name="SAPBEXexcCritical4" xfId="998" xr:uid="{00000000-0005-0000-0000-0000E9030000}"/>
    <cellStyle name="SAPBEXexcCritical5" xfId="999" xr:uid="{00000000-0005-0000-0000-0000EA030000}"/>
    <cellStyle name="SAPBEXexcCritical6" xfId="1000" xr:uid="{00000000-0005-0000-0000-0000EB030000}"/>
    <cellStyle name="SAPBEXexcGood1" xfId="1001" xr:uid="{00000000-0005-0000-0000-0000EC030000}"/>
    <cellStyle name="SAPBEXexcGood2" xfId="1002" xr:uid="{00000000-0005-0000-0000-0000ED030000}"/>
    <cellStyle name="SAPBEXexcGood3" xfId="1003" xr:uid="{00000000-0005-0000-0000-0000EE030000}"/>
    <cellStyle name="SAPBEXfilterDrill" xfId="1004" xr:uid="{00000000-0005-0000-0000-0000EF030000}"/>
    <cellStyle name="SAPBEXfilterItem" xfId="1005" xr:uid="{00000000-0005-0000-0000-0000F0030000}"/>
    <cellStyle name="SAPBEXfilterText" xfId="1006" xr:uid="{00000000-0005-0000-0000-0000F1030000}"/>
    <cellStyle name="SAPBEXformats" xfId="1007" xr:uid="{00000000-0005-0000-0000-0000F2030000}"/>
    <cellStyle name="SAPBEXheaderItem" xfId="1008" xr:uid="{00000000-0005-0000-0000-0000F3030000}"/>
    <cellStyle name="SAPBEXheaderText" xfId="1009" xr:uid="{00000000-0005-0000-0000-0000F4030000}"/>
    <cellStyle name="SAPBEXHLevel0" xfId="1010" xr:uid="{00000000-0005-0000-0000-0000F5030000}"/>
    <cellStyle name="SAPBEXHLevel0X" xfId="1011" xr:uid="{00000000-0005-0000-0000-0000F6030000}"/>
    <cellStyle name="SAPBEXHLevel1" xfId="1012" xr:uid="{00000000-0005-0000-0000-0000F7030000}"/>
    <cellStyle name="SAPBEXHLevel1X" xfId="1013" xr:uid="{00000000-0005-0000-0000-0000F8030000}"/>
    <cellStyle name="SAPBEXHLevel2" xfId="1014" xr:uid="{00000000-0005-0000-0000-0000F9030000}"/>
    <cellStyle name="SAPBEXHLevel2X" xfId="1015" xr:uid="{00000000-0005-0000-0000-0000FA030000}"/>
    <cellStyle name="SAPBEXHLevel3" xfId="1016" xr:uid="{00000000-0005-0000-0000-0000FB030000}"/>
    <cellStyle name="SAPBEXHLevel3X" xfId="1017" xr:uid="{00000000-0005-0000-0000-0000FC030000}"/>
    <cellStyle name="SAPBEXresData" xfId="1018" xr:uid="{00000000-0005-0000-0000-0000FD030000}"/>
    <cellStyle name="SAPBEXresDataEmph" xfId="1019" xr:uid="{00000000-0005-0000-0000-0000FE030000}"/>
    <cellStyle name="SAPBEXresItem" xfId="1020" xr:uid="{00000000-0005-0000-0000-0000FF030000}"/>
    <cellStyle name="SAPBEXresItemX" xfId="1021" xr:uid="{00000000-0005-0000-0000-000000040000}"/>
    <cellStyle name="SAPBEXstdData" xfId="1022" xr:uid="{00000000-0005-0000-0000-000001040000}"/>
    <cellStyle name="SAPBEXstdDataEmph" xfId="1023" xr:uid="{00000000-0005-0000-0000-000002040000}"/>
    <cellStyle name="SAPBEXstdItem" xfId="1024" xr:uid="{00000000-0005-0000-0000-000003040000}"/>
    <cellStyle name="SAPBEXstdItemX" xfId="1025" xr:uid="{00000000-0005-0000-0000-000004040000}"/>
    <cellStyle name="SAPBEXtitle" xfId="1026" xr:uid="{00000000-0005-0000-0000-000005040000}"/>
    <cellStyle name="SAPBEXundefined" xfId="1027" xr:uid="{00000000-0005-0000-0000-000006040000}"/>
    <cellStyle name="Schlecht 2" xfId="1028" xr:uid="{00000000-0005-0000-0000-000007040000}"/>
    <cellStyle name="Shade" xfId="1029" xr:uid="{00000000-0005-0000-0000-000008040000}"/>
    <cellStyle name="Standaard_Blad1" xfId="1030" xr:uid="{00000000-0005-0000-0000-000009040000}"/>
    <cellStyle name="Standard 10" xfId="1031" xr:uid="{00000000-0005-0000-0000-00000A040000}"/>
    <cellStyle name="Standard 11" xfId="1032" xr:uid="{00000000-0005-0000-0000-00000B040000}"/>
    <cellStyle name="Standard 11 2" xfId="1033" xr:uid="{00000000-0005-0000-0000-00000C040000}"/>
    <cellStyle name="Standard 11 3" xfId="1034" xr:uid="{00000000-0005-0000-0000-00000D040000}"/>
    <cellStyle name="Standard 11 4" xfId="1035" xr:uid="{00000000-0005-0000-0000-00000E040000}"/>
    <cellStyle name="Standard 11 5" xfId="1036" xr:uid="{00000000-0005-0000-0000-00000F040000}"/>
    <cellStyle name="Standard 12" xfId="1037" xr:uid="{00000000-0005-0000-0000-000010040000}"/>
    <cellStyle name="Standard 12 2" xfId="1038" xr:uid="{00000000-0005-0000-0000-000011040000}"/>
    <cellStyle name="Standard 12 2 2" xfId="1039" xr:uid="{00000000-0005-0000-0000-000012040000}"/>
    <cellStyle name="Standard 12 2 2 2" xfId="1040" xr:uid="{00000000-0005-0000-0000-000013040000}"/>
    <cellStyle name="Standard 12 3" xfId="1041" xr:uid="{00000000-0005-0000-0000-000014040000}"/>
    <cellStyle name="Standard 12 4" xfId="1042" xr:uid="{00000000-0005-0000-0000-000015040000}"/>
    <cellStyle name="Standard 13" xfId="1043" xr:uid="{00000000-0005-0000-0000-000016040000}"/>
    <cellStyle name="Standard 2" xfId="1044" xr:uid="{00000000-0005-0000-0000-000017040000}"/>
    <cellStyle name="Standard 2 2" xfId="1045" xr:uid="{00000000-0005-0000-0000-000018040000}"/>
    <cellStyle name="Standard 2 3" xfId="1046" xr:uid="{00000000-0005-0000-0000-000019040000}"/>
    <cellStyle name="Standard 2 3 2" xfId="1047" xr:uid="{00000000-0005-0000-0000-00001A040000}"/>
    <cellStyle name="Standard 2 3 3" xfId="1048" xr:uid="{00000000-0005-0000-0000-00001B040000}"/>
    <cellStyle name="Standard 2 4" xfId="1049" xr:uid="{00000000-0005-0000-0000-00001C040000}"/>
    <cellStyle name="Standard 2 4 2" xfId="1050" xr:uid="{00000000-0005-0000-0000-00001D040000}"/>
    <cellStyle name="Standard 2 4 3" xfId="1051" xr:uid="{00000000-0005-0000-0000-00001E040000}"/>
    <cellStyle name="Standard 2 5" xfId="1052" xr:uid="{00000000-0005-0000-0000-00001F040000}"/>
    <cellStyle name="Standard 3" xfId="1053" xr:uid="{00000000-0005-0000-0000-000020040000}"/>
    <cellStyle name="Standard 3 2" xfId="1054" xr:uid="{00000000-0005-0000-0000-000021040000}"/>
    <cellStyle name="Standard 3_PL" xfId="1055" xr:uid="{00000000-0005-0000-0000-000022040000}"/>
    <cellStyle name="Standard 4" xfId="1056" xr:uid="{00000000-0005-0000-0000-000023040000}"/>
    <cellStyle name="Standard 4 2" xfId="1057" xr:uid="{00000000-0005-0000-0000-000024040000}"/>
    <cellStyle name="Standard 4_PL" xfId="1058" xr:uid="{00000000-0005-0000-0000-000025040000}"/>
    <cellStyle name="Standard 5" xfId="1059" xr:uid="{00000000-0005-0000-0000-000026040000}"/>
    <cellStyle name="Standard 5 2" xfId="1060" xr:uid="{00000000-0005-0000-0000-000027040000}"/>
    <cellStyle name="Standard 5 2 2" xfId="1061" xr:uid="{00000000-0005-0000-0000-000028040000}"/>
    <cellStyle name="Standard 5 2 2 2" xfId="1062" xr:uid="{00000000-0005-0000-0000-000029040000}"/>
    <cellStyle name="Standard 5 2 2 3" xfId="1063" xr:uid="{00000000-0005-0000-0000-00002A040000}"/>
    <cellStyle name="Standard 5 2 3" xfId="1064" xr:uid="{00000000-0005-0000-0000-00002B040000}"/>
    <cellStyle name="Standard 5 2 3 2" xfId="1065" xr:uid="{00000000-0005-0000-0000-00002C040000}"/>
    <cellStyle name="Standard 5 2 3 3" xfId="1066" xr:uid="{00000000-0005-0000-0000-00002D040000}"/>
    <cellStyle name="Standard 5 2 4" xfId="1067" xr:uid="{00000000-0005-0000-0000-00002E040000}"/>
    <cellStyle name="Standard 5 2 5" xfId="1068" xr:uid="{00000000-0005-0000-0000-00002F040000}"/>
    <cellStyle name="Standard 5 2_ELC_Processes" xfId="1069" xr:uid="{00000000-0005-0000-0000-000030040000}"/>
    <cellStyle name="Standard 5 3" xfId="1070" xr:uid="{00000000-0005-0000-0000-000031040000}"/>
    <cellStyle name="Standard 5 3 2" xfId="1071" xr:uid="{00000000-0005-0000-0000-000032040000}"/>
    <cellStyle name="Standard 5 3 3" xfId="1072" xr:uid="{00000000-0005-0000-0000-000033040000}"/>
    <cellStyle name="Standard 5 4" xfId="1073" xr:uid="{00000000-0005-0000-0000-000034040000}"/>
    <cellStyle name="Standard 5 4 2" xfId="1074" xr:uid="{00000000-0005-0000-0000-000035040000}"/>
    <cellStyle name="Standard 5 4 3" xfId="1075" xr:uid="{00000000-0005-0000-0000-000036040000}"/>
    <cellStyle name="Standard 5 5" xfId="1076" xr:uid="{00000000-0005-0000-0000-000037040000}"/>
    <cellStyle name="Standard 5 5 2" xfId="1077" xr:uid="{00000000-0005-0000-0000-000038040000}"/>
    <cellStyle name="Standard 5 5 3" xfId="1078" xr:uid="{00000000-0005-0000-0000-000039040000}"/>
    <cellStyle name="Standard 5 6" xfId="1079" xr:uid="{00000000-0005-0000-0000-00003A040000}"/>
    <cellStyle name="Standard 5 7" xfId="1080" xr:uid="{00000000-0005-0000-0000-00003B040000}"/>
    <cellStyle name="Standard 5_ELC_Processes" xfId="1081" xr:uid="{00000000-0005-0000-0000-00003C040000}"/>
    <cellStyle name="Standard 6" xfId="1082" xr:uid="{00000000-0005-0000-0000-00003D040000}"/>
    <cellStyle name="Standard 6 2" xfId="1083" xr:uid="{00000000-0005-0000-0000-00003E040000}"/>
    <cellStyle name="Standard 7" xfId="1084" xr:uid="{00000000-0005-0000-0000-00003F040000}"/>
    <cellStyle name="Standard 8" xfId="1085" xr:uid="{00000000-0005-0000-0000-000040040000}"/>
    <cellStyle name="Standard 8 2" xfId="1086" xr:uid="{00000000-0005-0000-0000-000041040000}"/>
    <cellStyle name="Standard 8 3" xfId="1087" xr:uid="{00000000-0005-0000-0000-000042040000}"/>
    <cellStyle name="Standard 9" xfId="1088" xr:uid="{00000000-0005-0000-0000-000043040000}"/>
    <cellStyle name="Standard 9 2" xfId="1089" xr:uid="{00000000-0005-0000-0000-000044040000}"/>
    <cellStyle name="Standard 9 3" xfId="1090" xr:uid="{00000000-0005-0000-0000-000045040000}"/>
    <cellStyle name="Standard_Results_Pan_EU_OLGA_NUC" xfId="1091" xr:uid="{00000000-0005-0000-0000-000046040000}"/>
    <cellStyle name="Style 21" xfId="1092" xr:uid="{00000000-0005-0000-0000-000047040000}"/>
    <cellStyle name="Style 22" xfId="1093" xr:uid="{00000000-0005-0000-0000-000048040000}"/>
    <cellStyle name="Style 23" xfId="1094" xr:uid="{00000000-0005-0000-0000-000049040000}"/>
    <cellStyle name="Style 24" xfId="1095" xr:uid="{00000000-0005-0000-0000-00004A040000}"/>
    <cellStyle name="Style 25" xfId="1096" xr:uid="{00000000-0005-0000-0000-00004B040000}"/>
    <cellStyle name="Style 26" xfId="1097" xr:uid="{00000000-0005-0000-0000-00004C040000}"/>
    <cellStyle name="Style 27" xfId="1098" xr:uid="{00000000-0005-0000-0000-00004D040000}"/>
    <cellStyle name="Style 28" xfId="1099" xr:uid="{00000000-0005-0000-0000-00004E040000}"/>
    <cellStyle name="Style 29" xfId="1100" xr:uid="{00000000-0005-0000-0000-00004F040000}"/>
    <cellStyle name="Style 30" xfId="1101" xr:uid="{00000000-0005-0000-0000-000050040000}"/>
    <cellStyle name="Style 31" xfId="1102" xr:uid="{00000000-0005-0000-0000-000051040000}"/>
    <cellStyle name="Style 32" xfId="1103" xr:uid="{00000000-0005-0000-0000-000052040000}"/>
    <cellStyle name="Style 33" xfId="1104" xr:uid="{00000000-0005-0000-0000-000053040000}"/>
    <cellStyle name="Style 34" xfId="1105" xr:uid="{00000000-0005-0000-0000-000054040000}"/>
    <cellStyle name="Style 35" xfId="1106" xr:uid="{00000000-0005-0000-0000-000055040000}"/>
    <cellStyle name="Suma" xfId="1107" xr:uid="{00000000-0005-0000-0000-000056040000}"/>
    <cellStyle name="Suma 10" xfId="1108" xr:uid="{00000000-0005-0000-0000-000057040000}"/>
    <cellStyle name="Suma 10 2" xfId="1109" xr:uid="{00000000-0005-0000-0000-000058040000}"/>
    <cellStyle name="Suma 10 3" xfId="1110" xr:uid="{00000000-0005-0000-0000-000059040000}"/>
    <cellStyle name="Suma 11" xfId="1111" xr:uid="{00000000-0005-0000-0000-00005A040000}"/>
    <cellStyle name="Suma 12" xfId="1112" xr:uid="{00000000-0005-0000-0000-00005B040000}"/>
    <cellStyle name="Suma 2" xfId="1113" xr:uid="{00000000-0005-0000-0000-00005C040000}"/>
    <cellStyle name="Suma 3" xfId="1114" xr:uid="{00000000-0005-0000-0000-00005D040000}"/>
    <cellStyle name="Suma 4" xfId="1115" xr:uid="{00000000-0005-0000-0000-00005E040000}"/>
    <cellStyle name="Suma 5" xfId="1116" xr:uid="{00000000-0005-0000-0000-00005F040000}"/>
    <cellStyle name="Suma 6" xfId="1117" xr:uid="{00000000-0005-0000-0000-000060040000}"/>
    <cellStyle name="Suma 7" xfId="1118" xr:uid="{00000000-0005-0000-0000-000061040000}"/>
    <cellStyle name="Suma 8" xfId="1119" xr:uid="{00000000-0005-0000-0000-000062040000}"/>
    <cellStyle name="Suma 9" xfId="1120" xr:uid="{00000000-0005-0000-0000-000063040000}"/>
    <cellStyle name="Suma 9 2" xfId="1121" xr:uid="{00000000-0005-0000-0000-000064040000}"/>
    <cellStyle name="Suma 9 3" xfId="1122" xr:uid="{00000000-0005-0000-0000-000065040000}"/>
    <cellStyle name="Suma_D_HEAT" xfId="1123" xr:uid="{00000000-0005-0000-0000-000066040000}"/>
    <cellStyle name="Tekst objaśnienia 10" xfId="1124" xr:uid="{00000000-0005-0000-0000-000067040000}"/>
    <cellStyle name="Tekst objaśnienia 10 2" xfId="1125" xr:uid="{00000000-0005-0000-0000-000068040000}"/>
    <cellStyle name="Tekst objaśnienia 10 3" xfId="1126" xr:uid="{00000000-0005-0000-0000-000069040000}"/>
    <cellStyle name="Tekst objaśnienia 11" xfId="1127" xr:uid="{00000000-0005-0000-0000-00006A040000}"/>
    <cellStyle name="Tekst objaśnienia 12" xfId="1128" xr:uid="{00000000-0005-0000-0000-00006B040000}"/>
    <cellStyle name="Tekst objaśnienia 2" xfId="1129" xr:uid="{00000000-0005-0000-0000-00006C040000}"/>
    <cellStyle name="Tekst objaśnienia 3" xfId="1130" xr:uid="{00000000-0005-0000-0000-00006D040000}"/>
    <cellStyle name="Tekst objaśnienia 4" xfId="1131" xr:uid="{00000000-0005-0000-0000-00006E040000}"/>
    <cellStyle name="Tekst objaśnienia 5" xfId="1132" xr:uid="{00000000-0005-0000-0000-00006F040000}"/>
    <cellStyle name="Tekst objaśnienia 6" xfId="1133" xr:uid="{00000000-0005-0000-0000-000070040000}"/>
    <cellStyle name="Tekst objaśnienia 7" xfId="1134" xr:uid="{00000000-0005-0000-0000-000071040000}"/>
    <cellStyle name="Tekst objaśnienia 8" xfId="1135" xr:uid="{00000000-0005-0000-0000-000072040000}"/>
    <cellStyle name="Tekst objaśnienia 9" xfId="1136" xr:uid="{00000000-0005-0000-0000-000073040000}"/>
    <cellStyle name="Tekst objaśnienia 9 2" xfId="1137" xr:uid="{00000000-0005-0000-0000-000074040000}"/>
    <cellStyle name="Tekst objaśnienia 9 3" xfId="1138" xr:uid="{00000000-0005-0000-0000-000075040000}"/>
    <cellStyle name="Tekst ostrzeżenia" xfId="1139" xr:uid="{00000000-0005-0000-0000-000076040000}"/>
    <cellStyle name="Tekst ostrzeżenia 10" xfId="1140" xr:uid="{00000000-0005-0000-0000-000077040000}"/>
    <cellStyle name="Tekst ostrzeżenia 10 2" xfId="1141" xr:uid="{00000000-0005-0000-0000-000078040000}"/>
    <cellStyle name="Tekst ostrzeżenia 10 3" xfId="1142" xr:uid="{00000000-0005-0000-0000-000079040000}"/>
    <cellStyle name="Tekst ostrzeżenia 11" xfId="1143" xr:uid="{00000000-0005-0000-0000-00007A040000}"/>
    <cellStyle name="Tekst ostrzeżenia 12" xfId="1144" xr:uid="{00000000-0005-0000-0000-00007B040000}"/>
    <cellStyle name="Tekst ostrzeżenia 2" xfId="1145" xr:uid="{00000000-0005-0000-0000-00007C040000}"/>
    <cellStyle name="Tekst ostrzeżenia 3" xfId="1146" xr:uid="{00000000-0005-0000-0000-00007D040000}"/>
    <cellStyle name="Tekst ostrzeżenia 4" xfId="1147" xr:uid="{00000000-0005-0000-0000-00007E040000}"/>
    <cellStyle name="Tekst ostrzeżenia 5" xfId="1148" xr:uid="{00000000-0005-0000-0000-00007F040000}"/>
    <cellStyle name="Tekst ostrzeżenia 6" xfId="1149" xr:uid="{00000000-0005-0000-0000-000080040000}"/>
    <cellStyle name="Tekst ostrzeżenia 7" xfId="1150" xr:uid="{00000000-0005-0000-0000-000081040000}"/>
    <cellStyle name="Tekst ostrzeżenia 8" xfId="1151" xr:uid="{00000000-0005-0000-0000-000082040000}"/>
    <cellStyle name="Tekst ostrzeżenia 9" xfId="1152" xr:uid="{00000000-0005-0000-0000-000083040000}"/>
    <cellStyle name="Tekst ostrzeżenia 9 2" xfId="1153" xr:uid="{00000000-0005-0000-0000-000084040000}"/>
    <cellStyle name="Tekst ostrzeżenia 9 3" xfId="1154" xr:uid="{00000000-0005-0000-0000-000085040000}"/>
    <cellStyle name="Tekst ostrzeżenia_D_HEAT" xfId="1155" xr:uid="{00000000-0005-0000-0000-000086040000}"/>
    <cellStyle name="Title 2" xfId="1156" xr:uid="{00000000-0005-0000-0000-000087040000}"/>
    <cellStyle name="Title 3" xfId="1157" xr:uid="{00000000-0005-0000-0000-000088040000}"/>
    <cellStyle name="Total 10" xfId="1158" xr:uid="{00000000-0005-0000-0000-000089040000}"/>
    <cellStyle name="Total 11" xfId="1159" xr:uid="{00000000-0005-0000-0000-00008A040000}"/>
    <cellStyle name="Total 12" xfId="1160" xr:uid="{00000000-0005-0000-0000-00008B040000}"/>
    <cellStyle name="Total 13" xfId="1161" xr:uid="{00000000-0005-0000-0000-00008C040000}"/>
    <cellStyle name="Total 14" xfId="1162" xr:uid="{00000000-0005-0000-0000-00008D040000}"/>
    <cellStyle name="Total 15" xfId="1163" xr:uid="{00000000-0005-0000-0000-00008E040000}"/>
    <cellStyle name="Total 16" xfId="1164" xr:uid="{00000000-0005-0000-0000-00008F040000}"/>
    <cellStyle name="Total 17" xfId="1165" xr:uid="{00000000-0005-0000-0000-000090040000}"/>
    <cellStyle name="Total 18" xfId="1166" xr:uid="{00000000-0005-0000-0000-000091040000}"/>
    <cellStyle name="Total 19" xfId="1167" xr:uid="{00000000-0005-0000-0000-000092040000}"/>
    <cellStyle name="Total 2" xfId="1168" xr:uid="{00000000-0005-0000-0000-000093040000}"/>
    <cellStyle name="Total 2 2" xfId="1169" xr:uid="{00000000-0005-0000-0000-000094040000}"/>
    <cellStyle name="Total 20" xfId="1170" xr:uid="{00000000-0005-0000-0000-000095040000}"/>
    <cellStyle name="Total 3" xfId="1171" xr:uid="{00000000-0005-0000-0000-000096040000}"/>
    <cellStyle name="Total 4" xfId="1172" xr:uid="{00000000-0005-0000-0000-000097040000}"/>
    <cellStyle name="Total 5" xfId="1173" xr:uid="{00000000-0005-0000-0000-000098040000}"/>
    <cellStyle name="Total 6" xfId="1174" xr:uid="{00000000-0005-0000-0000-000099040000}"/>
    <cellStyle name="Total 7" xfId="1175" xr:uid="{00000000-0005-0000-0000-00009A040000}"/>
    <cellStyle name="Total 8" xfId="1176" xr:uid="{00000000-0005-0000-0000-00009B040000}"/>
    <cellStyle name="Total 9" xfId="1177" xr:uid="{00000000-0005-0000-0000-00009C040000}"/>
    <cellStyle name="Tytuł 2" xfId="1178" xr:uid="{00000000-0005-0000-0000-00009D040000}"/>
    <cellStyle name="Tytuł 2 2" xfId="1179" xr:uid="{00000000-0005-0000-0000-00009E040000}"/>
    <cellStyle name="Tytuł 2 3" xfId="1180" xr:uid="{00000000-0005-0000-0000-00009F040000}"/>
    <cellStyle name="Tytuł 3" xfId="1181" xr:uid="{00000000-0005-0000-0000-0000A0040000}"/>
    <cellStyle name="Tytuł 3 2" xfId="1182" xr:uid="{00000000-0005-0000-0000-0000A1040000}"/>
    <cellStyle name="Tytuł 3 3" xfId="1183" xr:uid="{00000000-0005-0000-0000-0000A2040000}"/>
    <cellStyle name="Tytuł 4" xfId="1184" xr:uid="{00000000-0005-0000-0000-0000A3040000}"/>
    <cellStyle name="Tytuł 5" xfId="1185" xr:uid="{00000000-0005-0000-0000-0000A4040000}"/>
    <cellStyle name="Überschrift 1 2" xfId="1186" xr:uid="{00000000-0005-0000-0000-0000A5040000}"/>
    <cellStyle name="Überschrift 2 2" xfId="1187" xr:uid="{00000000-0005-0000-0000-0000A6040000}"/>
    <cellStyle name="Überschrift 3 2" xfId="1188" xr:uid="{00000000-0005-0000-0000-0000A7040000}"/>
    <cellStyle name="Überschrift 4 2" xfId="1189" xr:uid="{00000000-0005-0000-0000-0000A8040000}"/>
    <cellStyle name="Überschrift 5" xfId="1190" xr:uid="{00000000-0005-0000-0000-0000A9040000}"/>
    <cellStyle name="Unprot" xfId="1191" xr:uid="{00000000-0005-0000-0000-0000AA040000}"/>
    <cellStyle name="Unprot$" xfId="1192" xr:uid="{00000000-0005-0000-0000-0000AB040000}"/>
    <cellStyle name="Unprot_2010-09-24_LTP 2010_assumptions" xfId="1193" xr:uid="{00000000-0005-0000-0000-0000AC040000}"/>
    <cellStyle name="Unprotect" xfId="1194" xr:uid="{00000000-0005-0000-0000-0000AD040000}"/>
    <cellStyle name="Uwaga 10" xfId="1195" xr:uid="{00000000-0005-0000-0000-0000AE040000}"/>
    <cellStyle name="Uwaga 10 2" xfId="1196" xr:uid="{00000000-0005-0000-0000-0000AF040000}"/>
    <cellStyle name="Uwaga 10 3" xfId="1197" xr:uid="{00000000-0005-0000-0000-0000B0040000}"/>
    <cellStyle name="Uwaga 10 3 2" xfId="1198" xr:uid="{00000000-0005-0000-0000-0000B1040000}"/>
    <cellStyle name="Uwaga 10 3 3" xfId="1199" xr:uid="{00000000-0005-0000-0000-0000B2040000}"/>
    <cellStyle name="Uwaga 11" xfId="1200" xr:uid="{00000000-0005-0000-0000-0000B3040000}"/>
    <cellStyle name="Uwaga 11 2" xfId="1201" xr:uid="{00000000-0005-0000-0000-0000B4040000}"/>
    <cellStyle name="Uwaga 11 3" xfId="1202" xr:uid="{00000000-0005-0000-0000-0000B5040000}"/>
    <cellStyle name="Uwaga 12" xfId="1203" xr:uid="{00000000-0005-0000-0000-0000B6040000}"/>
    <cellStyle name="Uwaga 2" xfId="1204" xr:uid="{00000000-0005-0000-0000-0000B7040000}"/>
    <cellStyle name="Uwaga 3" xfId="1205" xr:uid="{00000000-0005-0000-0000-0000B8040000}"/>
    <cellStyle name="Uwaga 4" xfId="1206" xr:uid="{00000000-0005-0000-0000-0000B9040000}"/>
    <cellStyle name="Uwaga 5" xfId="1207" xr:uid="{00000000-0005-0000-0000-0000BA040000}"/>
    <cellStyle name="Uwaga 6" xfId="1208" xr:uid="{00000000-0005-0000-0000-0000BB040000}"/>
    <cellStyle name="Uwaga 7" xfId="1209" xr:uid="{00000000-0005-0000-0000-0000BC040000}"/>
    <cellStyle name="Uwaga 8" xfId="1210" xr:uid="{00000000-0005-0000-0000-0000BD040000}"/>
    <cellStyle name="Uwaga 9" xfId="1211" xr:uid="{00000000-0005-0000-0000-0000BE040000}"/>
    <cellStyle name="Uwaga 9 2" xfId="1212" xr:uid="{00000000-0005-0000-0000-0000BF040000}"/>
    <cellStyle name="Uwaga 9 3" xfId="1213" xr:uid="{00000000-0005-0000-0000-0000C0040000}"/>
    <cellStyle name="Uwaga 9 3 2" xfId="1214" xr:uid="{00000000-0005-0000-0000-0000C1040000}"/>
    <cellStyle name="Uwaga 9 3 3" xfId="1215" xr:uid="{00000000-0005-0000-0000-0000C2040000}"/>
    <cellStyle name="Verknüpfte Zelle 2" xfId="1216" xr:uid="{00000000-0005-0000-0000-0000C3040000}"/>
    <cellStyle name="Währung 2" xfId="1217" xr:uid="{00000000-0005-0000-0000-0000C4040000}"/>
    <cellStyle name="Währung 2 2" xfId="1218" xr:uid="{00000000-0005-0000-0000-0000C5040000}"/>
    <cellStyle name="Warnender Text 2" xfId="1219" xr:uid="{00000000-0005-0000-0000-0000C7040000}"/>
    <cellStyle name="Warning Text 2" xfId="1220" xr:uid="{00000000-0005-0000-0000-0000C8040000}"/>
    <cellStyle name="Warning Text 3" xfId="1221" xr:uid="{00000000-0005-0000-0000-0000C9040000}"/>
    <cellStyle name="X10_Figs 21 dec" xfId="1222" xr:uid="{00000000-0005-0000-0000-0000CA040000}"/>
    <cellStyle name="Zelle überprüfen 2" xfId="1223" xr:uid="{00000000-0005-0000-0000-0000CB040000}"/>
    <cellStyle name="Złe" xfId="1224" xr:uid="{00000000-0005-0000-0000-0000CC040000}"/>
    <cellStyle name="Złe 10" xfId="1225" xr:uid="{00000000-0005-0000-0000-0000CD040000}"/>
    <cellStyle name="Złe 10 2" xfId="1226" xr:uid="{00000000-0005-0000-0000-0000CE040000}"/>
    <cellStyle name="Złe 10 3" xfId="1227" xr:uid="{00000000-0005-0000-0000-0000CF040000}"/>
    <cellStyle name="Złe 11" xfId="1228" xr:uid="{00000000-0005-0000-0000-0000D0040000}"/>
    <cellStyle name="Złe 12" xfId="1229" xr:uid="{00000000-0005-0000-0000-0000D1040000}"/>
    <cellStyle name="Złe 2" xfId="1230" xr:uid="{00000000-0005-0000-0000-0000D2040000}"/>
    <cellStyle name="Złe 3" xfId="1231" xr:uid="{00000000-0005-0000-0000-0000D3040000}"/>
    <cellStyle name="Złe 4" xfId="1232" xr:uid="{00000000-0005-0000-0000-0000D4040000}"/>
    <cellStyle name="Złe 5" xfId="1233" xr:uid="{00000000-0005-0000-0000-0000D5040000}"/>
    <cellStyle name="Złe 6" xfId="1234" xr:uid="{00000000-0005-0000-0000-0000D6040000}"/>
    <cellStyle name="Złe 7" xfId="1235" xr:uid="{00000000-0005-0000-0000-0000D7040000}"/>
    <cellStyle name="Złe 8" xfId="1236" xr:uid="{00000000-0005-0000-0000-0000D8040000}"/>
    <cellStyle name="Złe 9" xfId="1237" xr:uid="{00000000-0005-0000-0000-0000D9040000}"/>
    <cellStyle name="Złe 9 2" xfId="1238" xr:uid="{00000000-0005-0000-0000-0000DA040000}"/>
    <cellStyle name="Złe 9 3" xfId="1239" xr:uid="{00000000-0005-0000-0000-0000DB040000}"/>
    <cellStyle name="Złe_D_HEAT" xfId="1240" xr:uid="{00000000-0005-0000-0000-0000DC040000}"/>
    <cellStyle name="Обычный_2++_CRFReport-template" xfId="1241" xr:uid="{00000000-0005-0000-0000-0000DD040000}"/>
    <cellStyle name="已访问的超链接" xfId="1242" xr:uid="{00000000-0005-0000-0000-0000DE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DEMAND!$C$12:$I$12</c:f>
              <c:numCache>
                <c:formatCode>General</c:formatCode>
                <c:ptCount val="7"/>
                <c:pt idx="0">
                  <c:v>2023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xVal>
          <c:yVal>
            <c:numRef>
              <c:f>DEMAND!$C$13:$I$13</c:f>
              <c:numCache>
                <c:formatCode>0.0</c:formatCode>
                <c:ptCount val="7"/>
                <c:pt idx="0">
                  <c:v>109.39</c:v>
                </c:pt>
                <c:pt idx="1">
                  <c:v>122.81073059360824</c:v>
                </c:pt>
                <c:pt idx="2">
                  <c:v>157</c:v>
                </c:pt>
                <c:pt idx="3">
                  <c:v>193.89840182648368</c:v>
                </c:pt>
                <c:pt idx="4">
                  <c:v>230</c:v>
                </c:pt>
                <c:pt idx="5">
                  <c:v>264.98607305936093</c:v>
                </c:pt>
                <c:pt idx="6">
                  <c:v>300.52990867580047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3D-4D5F-AA43-F82B5531D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598447"/>
        <c:axId val="1579601327"/>
      </c:scatterChart>
      <c:valAx>
        <c:axId val="157959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79601327"/>
        <c:crosses val="autoZero"/>
        <c:crossBetween val="midCat"/>
      </c:valAx>
      <c:valAx>
        <c:axId val="157960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7959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19707</xdr:colOff>
      <xdr:row>16</xdr:row>
      <xdr:rowOff>157801</xdr:rowOff>
    </xdr:from>
    <xdr:to>
      <xdr:col>9</xdr:col>
      <xdr:colOff>530155</xdr:colOff>
      <xdr:row>34</xdr:row>
      <xdr:rowOff>92452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B76D17-E262-7A41-3A7B-1B7FCCFAA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07" y="3488267"/>
          <a:ext cx="6540758" cy="3764358"/>
        </a:xfrm>
        <a:prstGeom prst="rect">
          <a:avLst/>
        </a:prstGeom>
      </xdr:spPr>
    </xdr:pic>
    <xdr:clientData/>
  </xdr:twoCellAnchor>
  <xdr:twoCellAnchor>
    <xdr:from>
      <xdr:col>10</xdr:col>
      <xdr:colOff>262758</xdr:colOff>
      <xdr:row>12</xdr:row>
      <xdr:rowOff>11167</xdr:rowOff>
    </xdr:from>
    <xdr:to>
      <xdr:col>17</xdr:col>
      <xdr:colOff>518948</xdr:colOff>
      <xdr:row>22</xdr:row>
      <xdr:rowOff>113643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08EC66-A235-E2F7-A46F-106D87A9E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2024.entsos-tyndp-scenarios.eu/visualisation-platfor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J22"/>
  <sheetViews>
    <sheetView zoomScale="110" zoomScaleNormal="110" workbookViewId="0">
      <selection activeCell="H10" sqref="H10"/>
    </sheetView>
  </sheetViews>
  <sheetFormatPr defaultRowHeight="13.2"/>
  <cols>
    <col min="1" max="1" width="2.6640625" customWidth="1"/>
    <col min="2" max="2" width="15" customWidth="1"/>
    <col min="3" max="3" width="20.5546875" customWidth="1"/>
    <col min="4" max="4" width="36" customWidth="1"/>
    <col min="5" max="5" width="10" customWidth="1"/>
    <col min="6" max="6" width="11.44140625" bestFit="1" customWidth="1"/>
    <col min="7" max="7" width="12" customWidth="1"/>
    <col min="8" max="8" width="14.33203125" customWidth="1"/>
    <col min="9" max="9" width="12.6640625" customWidth="1"/>
    <col min="10" max="10" width="10.44140625" customWidth="1"/>
    <col min="11" max="12" width="10.6640625" bestFit="1" customWidth="1"/>
  </cols>
  <sheetData>
    <row r="2" spans="2:10" ht="17.399999999999999">
      <c r="B2" s="17" t="s">
        <v>0</v>
      </c>
      <c r="C2" s="18"/>
      <c r="D2" s="18"/>
      <c r="E2" s="10"/>
      <c r="F2" s="10"/>
      <c r="G2" s="10"/>
      <c r="H2" s="10"/>
      <c r="I2" s="10"/>
    </row>
    <row r="3" spans="2:10" ht="12.75" customHeight="1">
      <c r="B3" s="11"/>
      <c r="C3" s="10"/>
      <c r="D3" s="10"/>
      <c r="E3" s="10"/>
      <c r="F3" s="10"/>
      <c r="G3" s="10"/>
      <c r="H3" s="10"/>
      <c r="I3" s="10"/>
    </row>
    <row r="4" spans="2:10" ht="17.7" customHeight="1">
      <c r="B4" s="11" t="s">
        <v>1</v>
      </c>
      <c r="C4" s="10"/>
      <c r="D4" s="10"/>
      <c r="E4" s="10"/>
      <c r="F4" s="10"/>
      <c r="G4" s="10"/>
      <c r="H4" s="10"/>
      <c r="I4" s="10"/>
    </row>
    <row r="5" spans="2:10" ht="15.75" customHeight="1">
      <c r="B5" s="15" t="s">
        <v>2</v>
      </c>
      <c r="C5" s="15" t="s">
        <v>3</v>
      </c>
      <c r="D5" s="15" t="s">
        <v>4</v>
      </c>
      <c r="E5" s="15" t="s">
        <v>5</v>
      </c>
      <c r="F5" s="15" t="s">
        <v>6</v>
      </c>
      <c r="G5" s="15" t="s">
        <v>7</v>
      </c>
      <c r="H5" s="15" t="s">
        <v>8</v>
      </c>
      <c r="I5" s="15" t="s">
        <v>9</v>
      </c>
    </row>
    <row r="6" spans="2:10" ht="47.25" customHeight="1">
      <c r="B6" s="32" t="s">
        <v>10</v>
      </c>
      <c r="C6" s="32" t="s">
        <v>11</v>
      </c>
      <c r="D6" s="32" t="s">
        <v>12</v>
      </c>
      <c r="E6" s="32" t="s">
        <v>5</v>
      </c>
      <c r="F6" s="32" t="s">
        <v>13</v>
      </c>
      <c r="G6" s="32" t="s">
        <v>14</v>
      </c>
      <c r="H6" s="32" t="s">
        <v>15</v>
      </c>
      <c r="I6" s="32" t="s">
        <v>16</v>
      </c>
    </row>
    <row r="7" spans="2:10" ht="16.5" customHeight="1">
      <c r="B7" s="27" t="s">
        <v>17</v>
      </c>
      <c r="C7" s="27" t="s">
        <v>18</v>
      </c>
      <c r="D7" s="29" t="s">
        <v>19</v>
      </c>
      <c r="E7" s="27" t="s">
        <v>20</v>
      </c>
      <c r="F7" s="27"/>
      <c r="G7" s="27" t="s">
        <v>21</v>
      </c>
      <c r="H7" s="27"/>
      <c r="I7" s="27"/>
      <c r="J7" s="24"/>
    </row>
    <row r="8" spans="2:10" ht="15.75" customHeight="1">
      <c r="B8" s="28" t="s">
        <v>17</v>
      </c>
      <c r="C8" s="28" t="s">
        <v>22</v>
      </c>
      <c r="D8" s="30" t="s">
        <v>23</v>
      </c>
      <c r="E8" s="28" t="s">
        <v>20</v>
      </c>
      <c r="F8" s="28"/>
      <c r="G8" s="28" t="s">
        <v>21</v>
      </c>
      <c r="H8" s="28"/>
      <c r="I8" s="28"/>
    </row>
    <row r="9" spans="2:10" ht="15.75" customHeight="1">
      <c r="B9" s="27" t="s">
        <v>24</v>
      </c>
      <c r="C9" s="27" t="s">
        <v>25</v>
      </c>
      <c r="D9" s="29" t="s">
        <v>26</v>
      </c>
      <c r="E9" s="27" t="s">
        <v>20</v>
      </c>
      <c r="F9" s="27"/>
      <c r="G9" s="27" t="s">
        <v>21</v>
      </c>
      <c r="H9" s="27"/>
      <c r="I9" s="27"/>
    </row>
    <row r="10" spans="2:10">
      <c r="B10" s="28" t="s">
        <v>24</v>
      </c>
      <c r="C10" s="28" t="s">
        <v>27</v>
      </c>
      <c r="D10" s="28" t="s">
        <v>28</v>
      </c>
      <c r="E10" s="28" t="s">
        <v>20</v>
      </c>
      <c r="F10" s="28" t="s">
        <v>29</v>
      </c>
      <c r="G10" s="28" t="s">
        <v>21</v>
      </c>
      <c r="H10" s="28"/>
      <c r="I10" s="28"/>
    </row>
    <row r="11" spans="2:10">
      <c r="B11" s="27"/>
      <c r="C11" s="27"/>
      <c r="D11" s="27"/>
      <c r="E11" s="27"/>
      <c r="F11" s="27"/>
      <c r="G11" s="27"/>
      <c r="H11" s="27"/>
    </row>
    <row r="13" spans="2:10">
      <c r="B13" s="1"/>
    </row>
    <row r="22" ht="13.95" customHeight="1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8"/>
  <sheetViews>
    <sheetView zoomScale="145" zoomScaleNormal="145" workbookViewId="0">
      <selection activeCell="E9" sqref="E9"/>
    </sheetView>
  </sheetViews>
  <sheetFormatPr defaultRowHeight="13.2"/>
  <cols>
    <col min="1" max="1" width="2.6640625" customWidth="1"/>
    <col min="2" max="2" width="20.6640625" customWidth="1"/>
    <col min="3" max="3" width="19" customWidth="1"/>
    <col min="4" max="4" width="26.44140625" customWidth="1"/>
    <col min="5" max="5" width="45.6640625" customWidth="1"/>
    <col min="6" max="8" width="11" customWidth="1"/>
    <col min="9" max="9" width="14.33203125" customWidth="1"/>
    <col min="10" max="10" width="11" customWidth="1"/>
  </cols>
  <sheetData>
    <row r="2" spans="2:10" ht="15.75" customHeight="1">
      <c r="B2" s="17" t="s">
        <v>30</v>
      </c>
      <c r="C2" s="19"/>
      <c r="D2" s="19"/>
      <c r="E2" s="12"/>
      <c r="F2" s="12"/>
      <c r="G2" s="12"/>
      <c r="H2" s="12"/>
      <c r="I2" s="12"/>
      <c r="J2" s="12"/>
    </row>
    <row r="3" spans="2:10">
      <c r="B3" s="11"/>
      <c r="C3" s="11"/>
      <c r="D3" s="12"/>
      <c r="E3" s="12"/>
      <c r="F3" s="12"/>
      <c r="G3" s="12"/>
      <c r="H3" s="12"/>
      <c r="I3" s="12"/>
      <c r="J3" s="12"/>
    </row>
    <row r="4" spans="2:10" ht="15.75" customHeight="1">
      <c r="B4" s="11" t="s">
        <v>31</v>
      </c>
      <c r="C4" s="11"/>
      <c r="D4" s="12"/>
      <c r="E4" s="12"/>
      <c r="F4" s="12"/>
      <c r="G4" s="12"/>
      <c r="H4" s="12"/>
      <c r="I4" s="12"/>
      <c r="J4" s="12"/>
    </row>
    <row r="5" spans="2:10" ht="15.75" customHeight="1">
      <c r="B5" s="15" t="s">
        <v>32</v>
      </c>
      <c r="C5" s="15" t="s">
        <v>33</v>
      </c>
      <c r="D5" s="15" t="s">
        <v>34</v>
      </c>
      <c r="E5" s="15" t="s">
        <v>35</v>
      </c>
      <c r="F5" s="15" t="s">
        <v>36</v>
      </c>
      <c r="G5" s="15" t="s">
        <v>37</v>
      </c>
      <c r="H5" s="15" t="s">
        <v>38</v>
      </c>
      <c r="I5" s="15" t="s">
        <v>39</v>
      </c>
      <c r="J5" s="15" t="s">
        <v>40</v>
      </c>
    </row>
    <row r="6" spans="2:10" ht="39.6">
      <c r="B6" s="32" t="s">
        <v>41</v>
      </c>
      <c r="C6" s="32" t="s">
        <v>42</v>
      </c>
      <c r="D6" s="32" t="s">
        <v>43</v>
      </c>
      <c r="E6" s="32" t="s">
        <v>44</v>
      </c>
      <c r="F6" s="32" t="s">
        <v>45</v>
      </c>
      <c r="G6" s="32" t="s">
        <v>46</v>
      </c>
      <c r="H6" s="32" t="s">
        <v>14</v>
      </c>
      <c r="I6" s="33" t="s">
        <v>47</v>
      </c>
      <c r="J6" s="33" t="s">
        <v>48</v>
      </c>
    </row>
    <row r="7" spans="2:10" ht="15.75" customHeight="1">
      <c r="B7" s="31" t="s">
        <v>49</v>
      </c>
      <c r="C7" s="31" t="s">
        <v>50</v>
      </c>
      <c r="D7" s="31" t="s">
        <v>51</v>
      </c>
      <c r="E7" s="31" t="s">
        <v>52</v>
      </c>
      <c r="F7" s="31" t="s">
        <v>20</v>
      </c>
      <c r="G7" s="31" t="s">
        <v>53</v>
      </c>
      <c r="H7" s="31" t="s">
        <v>21</v>
      </c>
      <c r="I7" s="27"/>
      <c r="J7" s="13"/>
    </row>
    <row r="8" spans="2:10">
      <c r="B8" s="31" t="s">
        <v>49</v>
      </c>
      <c r="C8" s="31" t="s">
        <v>50</v>
      </c>
      <c r="D8" s="31" t="s">
        <v>54</v>
      </c>
      <c r="E8" s="31" t="s">
        <v>55</v>
      </c>
      <c r="F8" s="31" t="s">
        <v>20</v>
      </c>
      <c r="G8" s="31" t="s">
        <v>53</v>
      </c>
      <c r="H8" s="31" t="s">
        <v>21</v>
      </c>
      <c r="I8" s="2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27"/>
  <sheetViews>
    <sheetView topLeftCell="A2" zoomScale="145" zoomScaleNormal="145" workbookViewId="0">
      <selection activeCell="E9" sqref="E9"/>
    </sheetView>
  </sheetViews>
  <sheetFormatPr defaultRowHeight="13.2"/>
  <cols>
    <col min="1" max="1" width="2.6640625" customWidth="1"/>
    <col min="2" max="2" width="15.33203125" customWidth="1"/>
    <col min="3" max="3" width="12.33203125" customWidth="1"/>
    <col min="4" max="5" width="8.5546875" customWidth="1"/>
    <col min="6" max="6" width="11.109375" bestFit="1" customWidth="1"/>
    <col min="7" max="7" width="12.44140625" customWidth="1"/>
    <col min="8" max="8" width="9.33203125" customWidth="1"/>
    <col min="9" max="9" width="10.109375" bestFit="1" customWidth="1"/>
    <col min="15" max="15" width="9.6640625" customWidth="1"/>
  </cols>
  <sheetData>
    <row r="1" spans="2:13">
      <c r="C1" s="23"/>
    </row>
    <row r="3" spans="2:13" ht="17.399999999999999">
      <c r="B3" s="16" t="s">
        <v>69</v>
      </c>
      <c r="C3" s="9"/>
      <c r="D3" s="40"/>
      <c r="E3" s="40"/>
      <c r="F3" s="40"/>
      <c r="G3" s="40"/>
      <c r="H3" s="40"/>
      <c r="I3" s="40"/>
    </row>
    <row r="5" spans="2:13">
      <c r="B5" s="7" t="s">
        <v>70</v>
      </c>
      <c r="C5" s="8"/>
    </row>
    <row r="6" spans="2:13">
      <c r="B6" s="15" t="s">
        <v>3</v>
      </c>
      <c r="C6" s="21">
        <v>2023</v>
      </c>
      <c r="D6" s="21">
        <v>2025</v>
      </c>
      <c r="E6" s="21">
        <v>2030</v>
      </c>
      <c r="F6" s="21">
        <v>2035</v>
      </c>
      <c r="G6" s="21">
        <v>2040</v>
      </c>
      <c r="H6" s="21">
        <v>2045</v>
      </c>
      <c r="I6" s="21">
        <v>2050</v>
      </c>
    </row>
    <row r="7" spans="2:13" ht="36.75" customHeight="1">
      <c r="B7" s="32" t="s">
        <v>71</v>
      </c>
      <c r="C7" s="41" t="s">
        <v>72</v>
      </c>
      <c r="D7" s="41"/>
      <c r="E7" s="41"/>
      <c r="F7" s="41"/>
      <c r="G7" s="41"/>
      <c r="H7" s="41"/>
      <c r="I7" s="41"/>
    </row>
    <row r="8" spans="2:13" ht="15.75" customHeight="1">
      <c r="B8" t="s">
        <v>25</v>
      </c>
      <c r="C8" s="40">
        <f>0.8*C13*3.6</f>
        <v>315.04320000000001</v>
      </c>
      <c r="D8" s="40">
        <f t="shared" ref="D8:I8" si="0">0.8*D13*3.6</f>
        <v>353.69490410959179</v>
      </c>
      <c r="E8" s="40">
        <f t="shared" si="0"/>
        <v>452.16</v>
      </c>
      <c r="F8" s="40">
        <f t="shared" si="0"/>
        <v>558.4273972602731</v>
      </c>
      <c r="G8" s="40">
        <f t="shared" si="0"/>
        <v>662.4</v>
      </c>
      <c r="H8" s="40">
        <f t="shared" si="0"/>
        <v>763.15989041095952</v>
      </c>
      <c r="I8" s="40">
        <f t="shared" si="0"/>
        <v>865.52613698630546</v>
      </c>
      <c r="L8" t="s">
        <v>73</v>
      </c>
      <c r="M8" s="22" t="s">
        <v>74</v>
      </c>
    </row>
    <row r="9" spans="2:13" ht="15.75" customHeight="1">
      <c r="B9" t="str">
        <f>SEC_Comm!C10</f>
        <v>ELC_IND_FIN</v>
      </c>
      <c r="C9" s="40">
        <f>0.2*C13*3.6</f>
        <v>78.760800000000003</v>
      </c>
      <c r="D9" s="40">
        <f t="shared" ref="D9:I9" si="1">0.2*D13*3.6</f>
        <v>88.423726027397947</v>
      </c>
      <c r="E9" s="40">
        <f t="shared" si="1"/>
        <v>113.04</v>
      </c>
      <c r="F9" s="40">
        <f t="shared" si="1"/>
        <v>139.60684931506827</v>
      </c>
      <c r="G9" s="40">
        <f t="shared" si="1"/>
        <v>165.6</v>
      </c>
      <c r="H9" s="40">
        <f t="shared" si="1"/>
        <v>190.78997260273988</v>
      </c>
      <c r="I9" s="40">
        <f t="shared" si="1"/>
        <v>216.38153424657636</v>
      </c>
    </row>
    <row r="10" spans="2:13" ht="15.75" customHeight="1">
      <c r="D10" s="25"/>
      <c r="E10" s="25"/>
      <c r="F10" s="25"/>
      <c r="G10" s="25"/>
      <c r="H10" s="25"/>
      <c r="I10" s="25"/>
    </row>
    <row r="11" spans="2:13" ht="15.75" customHeight="1">
      <c r="C11" s="39" t="s">
        <v>75</v>
      </c>
      <c r="D11" s="25"/>
      <c r="E11" s="25"/>
      <c r="F11" s="25"/>
      <c r="G11" s="25"/>
      <c r="H11" s="25"/>
      <c r="I11" s="25"/>
      <c r="M11" s="1"/>
    </row>
    <row r="12" spans="2:13" ht="15.75" customHeight="1">
      <c r="C12" s="21">
        <v>2023</v>
      </c>
      <c r="D12" s="21">
        <v>2025</v>
      </c>
      <c r="E12" s="21">
        <v>2030</v>
      </c>
      <c r="F12" s="21">
        <v>2035</v>
      </c>
      <c r="G12" s="21">
        <v>2040</v>
      </c>
      <c r="H12" s="21">
        <v>2045</v>
      </c>
      <c r="I12" s="21">
        <v>2050</v>
      </c>
    </row>
    <row r="13" spans="2:13">
      <c r="B13" s="1" t="s">
        <v>76</v>
      </c>
      <c r="C13" s="37">
        <v>109.39</v>
      </c>
      <c r="D13" s="38">
        <f>_xlfn.FORECAST.LINEAR(2025,{109.39;157;230}, {2023;2030;2040})</f>
        <v>122.81073059360824</v>
      </c>
      <c r="E13" s="37">
        <v>157</v>
      </c>
      <c r="F13" s="38">
        <f>_xlfn.FORECAST.LINEAR(2035,{109.39;157;230}, {2023;2030;2040})</f>
        <v>193.89840182648368</v>
      </c>
      <c r="G13" s="37">
        <v>230</v>
      </c>
      <c r="H13" s="38">
        <f>_xlfn.FORECAST.LINEAR(2045,{109.39;157;230}, {2023;2030;2040})</f>
        <v>264.98607305936093</v>
      </c>
      <c r="I13" s="38">
        <f>_xlfn.FORECAST.LINEAR(2050,{109.39;157;230}, {2023;2030;2040})</f>
        <v>300.52990867580047</v>
      </c>
    </row>
    <row r="15" spans="2:13">
      <c r="C15" s="36" t="s">
        <v>77</v>
      </c>
    </row>
    <row r="16" spans="2:13" ht="13.5" customHeight="1">
      <c r="C16" s="26"/>
      <c r="D16" s="1" t="s">
        <v>78</v>
      </c>
    </row>
    <row r="17" spans="3:12" ht="26.25" customHeight="1"/>
    <row r="18" spans="3:12" ht="25.5" customHeight="1">
      <c r="K18" s="1"/>
      <c r="L18" s="1"/>
    </row>
    <row r="19" spans="3:12" ht="26.25" customHeight="1">
      <c r="C19" s="1"/>
    </row>
    <row r="20" spans="3:12" ht="26.25" customHeight="1"/>
    <row r="21" spans="3:12" ht="25.5" customHeight="1"/>
    <row r="27" spans="3:12" ht="16.5" customHeight="1"/>
  </sheetData>
  <mergeCells count="1">
    <mergeCell ref="C7:I7"/>
  </mergeCells>
  <phoneticPr fontId="0" type="noConversion"/>
  <hyperlinks>
    <hyperlink ref="M8" r:id="rId1" xr:uid="{D8F0503E-D579-41CB-BE05-E83519FE1FE8}"/>
  </hyperlinks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7"/>
  <sheetViews>
    <sheetView tabSelected="1" zoomScale="133" zoomScaleNormal="130" workbookViewId="0">
      <selection activeCell="C18" sqref="C18"/>
    </sheetView>
  </sheetViews>
  <sheetFormatPr defaultRowHeight="13.2"/>
  <cols>
    <col min="1" max="1" width="2.6640625" customWidth="1"/>
    <col min="2" max="2" width="31.33203125" customWidth="1"/>
    <col min="3" max="3" width="47.6640625" bestFit="1" customWidth="1"/>
    <col min="4" max="4" width="17" customWidth="1"/>
    <col min="5" max="5" width="19.6640625" customWidth="1"/>
    <col min="6" max="6" width="17.33203125" customWidth="1"/>
    <col min="7" max="7" width="16.33203125" customWidth="1"/>
  </cols>
  <sheetData>
    <row r="2" spans="2:7" ht="17.399999999999999">
      <c r="B2" s="16" t="s">
        <v>56</v>
      </c>
      <c r="C2" s="9"/>
      <c r="E2" s="3"/>
    </row>
    <row r="3" spans="2:7">
      <c r="B3" s="4"/>
      <c r="C3" s="2"/>
      <c r="E3" s="3"/>
    </row>
    <row r="4" spans="2:7" ht="15.75" customHeight="1">
      <c r="E4" s="6" t="s">
        <v>57</v>
      </c>
      <c r="F4" s="5"/>
      <c r="G4" s="5"/>
    </row>
    <row r="5" spans="2:7" ht="15.75" customHeight="1">
      <c r="B5" s="15" t="s">
        <v>34</v>
      </c>
      <c r="C5" s="15" t="s">
        <v>58</v>
      </c>
      <c r="D5" s="15" t="s">
        <v>59</v>
      </c>
      <c r="E5" s="15" t="s">
        <v>60</v>
      </c>
      <c r="F5" s="15" t="s">
        <v>61</v>
      </c>
      <c r="G5" s="15" t="s">
        <v>62</v>
      </c>
    </row>
    <row r="6" spans="2:7" ht="31.95" customHeight="1">
      <c r="B6" s="20" t="s">
        <v>63</v>
      </c>
      <c r="C6" s="20" t="s">
        <v>44</v>
      </c>
      <c r="D6" s="20" t="s">
        <v>64</v>
      </c>
      <c r="E6" s="20" t="s">
        <v>65</v>
      </c>
      <c r="F6" s="20" t="s">
        <v>66</v>
      </c>
      <c r="G6" s="20" t="s">
        <v>67</v>
      </c>
    </row>
    <row r="7" spans="2:7" ht="15.75" customHeight="1">
      <c r="B7" s="27" t="str">
        <f>SEC_Processes!D7</f>
        <v>ELC_FIN_DEM</v>
      </c>
      <c r="C7" s="27" t="str">
        <f>SEC_Processes!E7</f>
        <v>Electricity - Final Energy Demand</v>
      </c>
      <c r="D7" s="30" t="str">
        <f>SEC_Comm!C7</f>
        <v>ELC_GRID_RES</v>
      </c>
      <c r="E7" s="28"/>
      <c r="F7" s="34">
        <v>1</v>
      </c>
      <c r="G7" s="34">
        <v>1</v>
      </c>
    </row>
    <row r="8" spans="2:7">
      <c r="B8" s="28"/>
      <c r="C8" s="28"/>
      <c r="D8" s="29" t="str">
        <f>SEC_Comm!C8</f>
        <v>ELC_GRID</v>
      </c>
      <c r="E8" s="27"/>
      <c r="F8" s="35"/>
      <c r="G8" s="35"/>
    </row>
    <row r="9" spans="2:7">
      <c r="B9" s="27"/>
      <c r="C9" s="27"/>
      <c r="E9" s="28" t="str">
        <f>SEC_Comm!C9</f>
        <v>ELC_FIN</v>
      </c>
      <c r="F9" s="34"/>
      <c r="G9" s="34"/>
    </row>
    <row r="10" spans="2:7">
      <c r="B10" t="str">
        <f>SEC_Processes!D8</f>
        <v>ELC_IND_FIN_DEM</v>
      </c>
      <c r="D10" t="s">
        <v>68</v>
      </c>
      <c r="F10" s="34">
        <v>1</v>
      </c>
      <c r="G10" s="34">
        <v>1</v>
      </c>
    </row>
    <row r="11" spans="2:7">
      <c r="D11" t="str">
        <f>SEC_Comm!C8</f>
        <v>ELC_GRID</v>
      </c>
    </row>
    <row r="12" spans="2:7">
      <c r="E12" t="str">
        <f>SEC_Comm!C10</f>
        <v>ELC_IND_FIN</v>
      </c>
    </row>
    <row r="17" spans="4:4">
      <c r="D17" s="14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1e947dbeecc0105382883177c1567d6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301260a7e0c41c498f96881b840e0917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E37678-EE5E-4C84-8E2A-2E68C4456B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80b71-d53a-4925-9636-d69011c62a0b"/>
    <ds:schemaRef ds:uri="853a583b-5a39-49db-b57b-0c8a2ee0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A861A5-7E6A-41A7-8E0B-DCD15A12B5CB}">
  <ds:schemaRefs>
    <ds:schemaRef ds:uri="http://schemas.openxmlformats.org/package/2006/metadata/core-properties"/>
    <ds:schemaRef ds:uri="http://schemas.microsoft.com/office/2006/documentManagement/types"/>
    <ds:schemaRef ds:uri="45d80b71-d53a-4925-9636-d69011c62a0b"/>
    <ds:schemaRef ds:uri="853a583b-5a39-49db-b57b-0c8a2ee0f312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SEC_Comm</vt:lpstr>
      <vt:lpstr>SEC_Processes</vt:lpstr>
      <vt:lpstr>DEMAND</vt:lpstr>
      <vt:lpstr>FINAL_DEMAD_PRC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Jan Wyrwa</cp:lastModifiedBy>
  <cp:revision/>
  <dcterms:created xsi:type="dcterms:W3CDTF">2000-12-13T15:53:11Z</dcterms:created>
  <dcterms:modified xsi:type="dcterms:W3CDTF">2025-11-18T10:11:00Z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608756482601165</vt:r8>
  </property>
</Properties>
</file>